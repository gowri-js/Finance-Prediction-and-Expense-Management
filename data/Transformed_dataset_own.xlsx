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65ea1a892014bb/GOWRI/COLLEGE/Second year/SEM 4/SUBJECTS/DL/project/"/>
    </mc:Choice>
  </mc:AlternateContent>
  <xr:revisionPtr revIDLastSave="12" documentId="8_{BFC01BCD-F365-411B-9FFB-C1C28C92B816}" xr6:coauthVersionLast="47" xr6:coauthVersionMax="47" xr10:uidLastSave="{C2D11ADE-1C12-475C-834D-118426BEBBDC}"/>
  <bookViews>
    <workbookView xWindow="-108" yWindow="-108" windowWidth="23256" windowHeight="13176" xr2:uid="{A722594A-A4DC-472A-96E4-A5C1F38743AC}"/>
  </bookViews>
  <sheets>
    <sheet name="Sheet1 (Karish written)" sheetId="1" r:id="rId1"/>
    <sheet name="Sheet2 (Karish digital)" sheetId="3" r:id="rId2"/>
    <sheet name="Sheet3 (Vishwa)" sheetId="6" r:id="rId3"/>
    <sheet name="Sheet4 (Manasa)" sheetId="7" r:id="rId4"/>
    <sheet name="Sheet5 (Akshaya)" sheetId="9" r:id="rId5"/>
    <sheet name="Roshini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7" l="1"/>
  <c r="J3" i="9"/>
  <c r="J4" i="9"/>
  <c r="J4" i="6"/>
  <c r="J4" i="7"/>
  <c r="J3" i="7"/>
  <c r="J3" i="6"/>
  <c r="K4" i="3"/>
  <c r="K3" i="3"/>
  <c r="J4" i="1"/>
  <c r="J3" i="1"/>
</calcChain>
</file>

<file path=xl/sharedStrings.xml><?xml version="1.0" encoding="utf-8"?>
<sst xmlns="http://schemas.openxmlformats.org/spreadsheetml/2006/main" count="1583" uniqueCount="170">
  <si>
    <t>Date</t>
  </si>
  <si>
    <t>Time</t>
  </si>
  <si>
    <t>Money flow</t>
  </si>
  <si>
    <t>Assets</t>
  </si>
  <si>
    <t>Category</t>
  </si>
  <si>
    <t>Amount</t>
  </si>
  <si>
    <t>Note</t>
  </si>
  <si>
    <t>Income</t>
  </si>
  <si>
    <t>Savings</t>
  </si>
  <si>
    <t>Fam</t>
  </si>
  <si>
    <t>Cash</t>
  </si>
  <si>
    <t>cash</t>
  </si>
  <si>
    <t>Expense</t>
  </si>
  <si>
    <t>Education</t>
  </si>
  <si>
    <t>Bio informatics course</t>
  </si>
  <si>
    <t>savings</t>
  </si>
  <si>
    <t>Food</t>
  </si>
  <si>
    <t>Mosambi juice</t>
  </si>
  <si>
    <t>Transportation</t>
  </si>
  <si>
    <t>Auto</t>
  </si>
  <si>
    <t>Bus</t>
  </si>
  <si>
    <t>Stationery</t>
  </si>
  <si>
    <t>Pencil</t>
  </si>
  <si>
    <t>Omlette</t>
  </si>
  <si>
    <t>Food fest - Amritotsavam</t>
  </si>
  <si>
    <t>Cbe to Pln</t>
  </si>
  <si>
    <t>Pln to Cbe</t>
  </si>
  <si>
    <t>Train</t>
  </si>
  <si>
    <t>Changing</t>
  </si>
  <si>
    <t>Stick files</t>
  </si>
  <si>
    <t>Components box</t>
  </si>
  <si>
    <t>Milkshake</t>
  </si>
  <si>
    <t>Puffs</t>
  </si>
  <si>
    <t>Ice cream</t>
  </si>
  <si>
    <t>Keychain</t>
  </si>
  <si>
    <t>Accessories</t>
  </si>
  <si>
    <t>Watch</t>
  </si>
  <si>
    <t>Outing</t>
  </si>
  <si>
    <t>Lunch</t>
  </si>
  <si>
    <t xml:space="preserve">Food fest  </t>
  </si>
  <si>
    <t>Tender coconut</t>
  </si>
  <si>
    <t>Pani puri</t>
  </si>
  <si>
    <t xml:space="preserve">Food </t>
  </si>
  <si>
    <t>Ice gola</t>
  </si>
  <si>
    <t>Pastries</t>
  </si>
  <si>
    <t>Pln to Udt</t>
  </si>
  <si>
    <t>Coffee</t>
  </si>
  <si>
    <t>Canteen</t>
  </si>
  <si>
    <t>Gifts</t>
  </si>
  <si>
    <t>Manasa bday</t>
  </si>
  <si>
    <t>Health</t>
  </si>
  <si>
    <t>Clinic</t>
  </si>
  <si>
    <t>Biriyani</t>
  </si>
  <si>
    <t>Juice</t>
  </si>
  <si>
    <t>Shoes</t>
  </si>
  <si>
    <t>Bag</t>
  </si>
  <si>
    <t>Cosmetics</t>
  </si>
  <si>
    <t>Sunscreen</t>
  </si>
  <si>
    <t>Hardware</t>
  </si>
  <si>
    <t>Millet café</t>
  </si>
  <si>
    <t>Night canteen</t>
  </si>
  <si>
    <t>Cake</t>
  </si>
  <si>
    <t>MBA canteen</t>
  </si>
  <si>
    <t>Cafeteria</t>
  </si>
  <si>
    <t>Beverage</t>
  </si>
  <si>
    <t>Petrol</t>
  </si>
  <si>
    <t>Gowri bday</t>
  </si>
  <si>
    <t>Etd to Cbe</t>
  </si>
  <si>
    <t>Dosa</t>
  </si>
  <si>
    <t>Bandaid</t>
  </si>
  <si>
    <t>Fruits</t>
  </si>
  <si>
    <t>Apple</t>
  </si>
  <si>
    <t>Haircare</t>
  </si>
  <si>
    <t>Kitkat</t>
  </si>
  <si>
    <t>Thai homeo</t>
  </si>
  <si>
    <t>Notebook</t>
  </si>
  <si>
    <t>Curd</t>
  </si>
  <si>
    <t>Mall</t>
  </si>
  <si>
    <t>Yogurt</t>
  </si>
  <si>
    <t>Fried rice</t>
  </si>
  <si>
    <t>Peddanaina</t>
  </si>
  <si>
    <t>Chocoloate</t>
  </si>
  <si>
    <t>Recharge</t>
  </si>
  <si>
    <t>Anandhi ammiya</t>
  </si>
  <si>
    <t>Clothes</t>
  </si>
  <si>
    <t>Uniform</t>
  </si>
  <si>
    <t>Food fest</t>
  </si>
  <si>
    <t>Movie</t>
  </si>
  <si>
    <t>Solo levelling</t>
  </si>
  <si>
    <t>Horlicks</t>
  </si>
  <si>
    <t>Trip</t>
  </si>
  <si>
    <t>To Munnar</t>
  </si>
  <si>
    <t>Ammiya</t>
  </si>
  <si>
    <t>Bounty</t>
  </si>
  <si>
    <t>IT Canteen</t>
  </si>
  <si>
    <t>Velan Kaapi</t>
  </si>
  <si>
    <t>Style union</t>
  </si>
  <si>
    <t>FruitBae</t>
  </si>
  <si>
    <t>Annapoorna</t>
  </si>
  <si>
    <t>Essentials</t>
  </si>
  <si>
    <t>Paste</t>
  </si>
  <si>
    <t>Boost</t>
  </si>
  <si>
    <t>Cbe to Etd</t>
  </si>
  <si>
    <t>Gpay</t>
  </si>
  <si>
    <t>Daddy</t>
  </si>
  <si>
    <t>gpay</t>
  </si>
  <si>
    <t>Breakfast</t>
  </si>
  <si>
    <t>Snacks</t>
  </si>
  <si>
    <t>AB4 Canteen</t>
  </si>
  <si>
    <t>Dinner</t>
  </si>
  <si>
    <t>Water</t>
  </si>
  <si>
    <t>Home</t>
  </si>
  <si>
    <t>Groceries</t>
  </si>
  <si>
    <t>Polar bear</t>
  </si>
  <si>
    <t>Train+rapido</t>
  </si>
  <si>
    <t>Airtel</t>
  </si>
  <si>
    <t>FD interest</t>
  </si>
  <si>
    <t>Dad</t>
  </si>
  <si>
    <t>IITM</t>
  </si>
  <si>
    <t>Exchange</t>
  </si>
  <si>
    <t>To friend</t>
  </si>
  <si>
    <t>From friend</t>
  </si>
  <si>
    <t>Grandpa</t>
  </si>
  <si>
    <t>Gym</t>
  </si>
  <si>
    <t>Fee</t>
  </si>
  <si>
    <t>Bhel puri</t>
  </si>
  <si>
    <t>Shopping</t>
  </si>
  <si>
    <t>Remaining fee</t>
  </si>
  <si>
    <t>Mom</t>
  </si>
  <si>
    <t>Kaara pori</t>
  </si>
  <si>
    <t>To dharapuram</t>
  </si>
  <si>
    <t>To kalipalayam</t>
  </si>
  <si>
    <t>Nallamaal</t>
  </si>
  <si>
    <t>Thambi</t>
  </si>
  <si>
    <t>Anna</t>
  </si>
  <si>
    <t>Game</t>
  </si>
  <si>
    <t>To cbe</t>
  </si>
  <si>
    <t>Lays</t>
  </si>
  <si>
    <t>Mutta puffs</t>
  </si>
  <si>
    <t>Jalebi</t>
  </si>
  <si>
    <t>Help</t>
  </si>
  <si>
    <t>Ashwin</t>
  </si>
  <si>
    <t>Friend</t>
  </si>
  <si>
    <t>Printout</t>
  </si>
  <si>
    <t>Cousin</t>
  </si>
  <si>
    <t>IEEE paper</t>
  </si>
  <si>
    <t>Deposit</t>
  </si>
  <si>
    <t>Initial deposit</t>
  </si>
  <si>
    <t>Outing with Diya</t>
  </si>
  <si>
    <t>Personal wants</t>
  </si>
  <si>
    <t>Sim 1 and 2 recharge</t>
  </si>
  <si>
    <t>Navya bday gift</t>
  </si>
  <si>
    <t>Cab</t>
  </si>
  <si>
    <t>Books</t>
  </si>
  <si>
    <t>Ebook unlock</t>
  </si>
  <si>
    <t>Borrowed</t>
  </si>
  <si>
    <t>Srinidhi</t>
  </si>
  <si>
    <t>Sim 2 recharge</t>
  </si>
  <si>
    <t>Navya</t>
  </si>
  <si>
    <t>Debt</t>
  </si>
  <si>
    <t>Sahithi</t>
  </si>
  <si>
    <t>Money Flow</t>
  </si>
  <si>
    <t>train ticket</t>
  </si>
  <si>
    <t>snacks</t>
  </si>
  <si>
    <t>auto</t>
  </si>
  <si>
    <t>bus ticket</t>
  </si>
  <si>
    <t>friends</t>
  </si>
  <si>
    <t>train pass</t>
  </si>
  <si>
    <t>dinner</t>
  </si>
  <si>
    <t>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</si>
</sst>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 applyAlignment="1">
      <alignment horizontal="center"/>
    </xf>
    <xf numFmtId="20" fontId="0" fillId="0" borderId="0" xfId="0" applyNumberFormat="1"/>
    <xf numFmtId="14" fontId="0" fillId="0" borderId="0" xfId="0" applyNumberFormat="1" applyAlignment="1">
      <alignment horizontal="right"/>
    </xf>
    <xf numFmtId="15" fontId="0" fillId="0" borderId="0" xfId="0" applyNumberFormat="1"/>
    <xf numFmtId="164" fontId="0" fillId="0" borderId="0" xfId="0" applyNumberFormat="1"/>
    <xf numFmtId="49" fontId="0" fillId="0" borderId="0" xfId="0" applyNumberFormat="1"/>
    <xf numFmtId="164" fontId="1" fillId="0" borderId="0" xfId="0" applyNumberFormat="1" applyFont="1"/>
    <xf numFmtId="49" fontId="1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3132-A70E-4E28-AD9F-27FEBE558D86}">
  <dimension ref="A1:J89"/>
  <sheetViews>
    <sheetView tabSelected="1" topLeftCell="A30" workbookViewId="0">
      <selection activeCell="I46" sqref="I46"/>
    </sheetView>
  </sheetViews>
  <sheetFormatPr defaultRowHeight="14.4" x14ac:dyDescent="0.3"/>
  <cols>
    <col min="1" max="1" width="10.33203125" bestFit="1" customWidth="1"/>
    <col min="2" max="2" width="5.109375" bestFit="1" customWidth="1"/>
    <col min="3" max="3" width="11.109375" bestFit="1" customWidth="1"/>
    <col min="4" max="4" width="6.88671875" bestFit="1" customWidth="1"/>
    <col min="5" max="5" width="13.33203125" bestFit="1" customWidth="1"/>
    <col min="6" max="6" width="7.88671875" bestFit="1" customWidth="1"/>
    <col min="7" max="7" width="2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s="2">
        <v>45231</v>
      </c>
      <c r="C2" t="s">
        <v>7</v>
      </c>
      <c r="D2" t="s">
        <v>8</v>
      </c>
      <c r="E2" t="s">
        <v>9</v>
      </c>
      <c r="F2">
        <v>5000</v>
      </c>
    </row>
    <row r="3" spans="1:10" x14ac:dyDescent="0.3">
      <c r="A3" s="2">
        <v>45231</v>
      </c>
      <c r="C3" t="s">
        <v>7</v>
      </c>
      <c r="D3" t="s">
        <v>10</v>
      </c>
      <c r="E3" t="s">
        <v>9</v>
      </c>
      <c r="F3">
        <v>1500</v>
      </c>
      <c r="I3" t="s">
        <v>11</v>
      </c>
      <c r="J3">
        <f>SUMIFS(F2:F89,C2:C89,"="&amp;"Income",D2:D89,"="&amp;"Cash")-SUMIFS(F2:F89,C2:C89,"="&amp;"Expense",D2:D89,"="&amp;"Cash")</f>
        <v>0</v>
      </c>
    </row>
    <row r="4" spans="1:10" x14ac:dyDescent="0.3">
      <c r="A4" s="2">
        <v>45231</v>
      </c>
      <c r="C4" t="s">
        <v>12</v>
      </c>
      <c r="D4" t="s">
        <v>10</v>
      </c>
      <c r="E4" t="s">
        <v>13</v>
      </c>
      <c r="F4">
        <v>450</v>
      </c>
      <c r="G4" t="s">
        <v>14</v>
      </c>
      <c r="I4" t="s">
        <v>15</v>
      </c>
      <c r="J4">
        <f>SUMIFS(F2:F89,C2:C89,"="&amp;"Income",D2:D89,"="&amp;"Savings")-SUMIFS(F2:F89,C2:C89,"="&amp;"Expense",D2:D89,"="&amp;"Savings")</f>
        <v>2410</v>
      </c>
    </row>
    <row r="5" spans="1:10" x14ac:dyDescent="0.3">
      <c r="A5" s="2">
        <v>45231</v>
      </c>
      <c r="C5" t="s">
        <v>12</v>
      </c>
      <c r="D5" t="s">
        <v>10</v>
      </c>
      <c r="E5" t="s">
        <v>16</v>
      </c>
      <c r="F5">
        <v>60</v>
      </c>
      <c r="G5" t="s">
        <v>17</v>
      </c>
    </row>
    <row r="6" spans="1:10" x14ac:dyDescent="0.3">
      <c r="A6" s="2">
        <v>45231</v>
      </c>
      <c r="C6" t="s">
        <v>12</v>
      </c>
      <c r="D6" t="s">
        <v>10</v>
      </c>
      <c r="E6" t="s">
        <v>18</v>
      </c>
      <c r="F6">
        <v>200</v>
      </c>
      <c r="G6" t="s">
        <v>19</v>
      </c>
    </row>
    <row r="7" spans="1:10" x14ac:dyDescent="0.3">
      <c r="A7" s="2">
        <v>45231</v>
      </c>
      <c r="C7" t="s">
        <v>12</v>
      </c>
      <c r="D7" t="s">
        <v>10</v>
      </c>
      <c r="E7" t="s">
        <v>18</v>
      </c>
      <c r="F7">
        <v>200</v>
      </c>
      <c r="G7" t="s">
        <v>20</v>
      </c>
    </row>
    <row r="8" spans="1:10" x14ac:dyDescent="0.3">
      <c r="A8" s="2">
        <v>45231</v>
      </c>
      <c r="C8" t="s">
        <v>12</v>
      </c>
      <c r="D8" t="s">
        <v>10</v>
      </c>
      <c r="E8" t="s">
        <v>16</v>
      </c>
      <c r="F8">
        <v>120</v>
      </c>
    </row>
    <row r="9" spans="1:10" x14ac:dyDescent="0.3">
      <c r="A9" s="2">
        <v>45231</v>
      </c>
      <c r="C9" t="s">
        <v>12</v>
      </c>
      <c r="D9" t="s">
        <v>10</v>
      </c>
      <c r="E9" t="s">
        <v>21</v>
      </c>
      <c r="F9">
        <v>10</v>
      </c>
      <c r="G9" t="s">
        <v>22</v>
      </c>
    </row>
    <row r="10" spans="1:10" x14ac:dyDescent="0.3">
      <c r="A10" s="2">
        <v>45231</v>
      </c>
      <c r="C10" t="s">
        <v>12</v>
      </c>
      <c r="D10" t="s">
        <v>10</v>
      </c>
      <c r="E10" t="s">
        <v>16</v>
      </c>
      <c r="F10">
        <v>50</v>
      </c>
      <c r="G10" t="s">
        <v>23</v>
      </c>
    </row>
    <row r="11" spans="1:10" x14ac:dyDescent="0.3">
      <c r="A11" s="2">
        <v>45231</v>
      </c>
      <c r="C11" t="s">
        <v>7</v>
      </c>
      <c r="D11" t="s">
        <v>10</v>
      </c>
      <c r="E11" t="s">
        <v>9</v>
      </c>
      <c r="F11">
        <v>1000</v>
      </c>
    </row>
    <row r="12" spans="1:10" x14ac:dyDescent="0.3">
      <c r="A12" s="2">
        <v>45231</v>
      </c>
      <c r="C12" t="s">
        <v>12</v>
      </c>
      <c r="D12" t="s">
        <v>10</v>
      </c>
      <c r="E12" t="s">
        <v>16</v>
      </c>
      <c r="F12">
        <v>120</v>
      </c>
      <c r="G12" t="s">
        <v>24</v>
      </c>
    </row>
    <row r="13" spans="1:10" x14ac:dyDescent="0.3">
      <c r="A13" s="2">
        <v>45231</v>
      </c>
      <c r="C13" t="s">
        <v>12</v>
      </c>
      <c r="D13" t="s">
        <v>10</v>
      </c>
      <c r="E13" t="s">
        <v>18</v>
      </c>
      <c r="F13">
        <v>90</v>
      </c>
      <c r="G13" t="s">
        <v>25</v>
      </c>
    </row>
    <row r="14" spans="1:10" x14ac:dyDescent="0.3">
      <c r="A14" s="2">
        <v>45231</v>
      </c>
      <c r="C14" t="s">
        <v>12</v>
      </c>
      <c r="D14" t="s">
        <v>10</v>
      </c>
      <c r="E14" t="s">
        <v>18</v>
      </c>
      <c r="F14">
        <v>90</v>
      </c>
      <c r="G14" t="s">
        <v>26</v>
      </c>
    </row>
    <row r="15" spans="1:10" x14ac:dyDescent="0.3">
      <c r="A15" s="2">
        <v>45231</v>
      </c>
      <c r="C15" t="s">
        <v>12</v>
      </c>
      <c r="D15" t="s">
        <v>10</v>
      </c>
      <c r="E15" t="s">
        <v>18</v>
      </c>
      <c r="F15">
        <v>100</v>
      </c>
      <c r="G15" t="s">
        <v>19</v>
      </c>
    </row>
    <row r="16" spans="1:10" x14ac:dyDescent="0.3">
      <c r="A16" s="2">
        <v>45231</v>
      </c>
      <c r="C16" t="s">
        <v>12</v>
      </c>
      <c r="D16" t="s">
        <v>10</v>
      </c>
      <c r="E16" t="s">
        <v>18</v>
      </c>
      <c r="F16">
        <v>30</v>
      </c>
      <c r="G16" t="s">
        <v>27</v>
      </c>
    </row>
    <row r="17" spans="1:7" x14ac:dyDescent="0.3">
      <c r="A17" s="2">
        <v>45231</v>
      </c>
      <c r="C17" t="s">
        <v>12</v>
      </c>
      <c r="D17" t="s">
        <v>10</v>
      </c>
      <c r="E17" t="s">
        <v>18</v>
      </c>
      <c r="F17">
        <v>210</v>
      </c>
      <c r="G17" t="s">
        <v>19</v>
      </c>
    </row>
    <row r="18" spans="1:7" x14ac:dyDescent="0.3">
      <c r="A18" s="2">
        <v>45231</v>
      </c>
      <c r="C18" t="s">
        <v>12</v>
      </c>
      <c r="D18" t="s">
        <v>10</v>
      </c>
      <c r="E18" t="s">
        <v>18</v>
      </c>
      <c r="F18">
        <v>100</v>
      </c>
      <c r="G18" t="s">
        <v>25</v>
      </c>
    </row>
    <row r="19" spans="1:7" x14ac:dyDescent="0.3">
      <c r="A19" s="2">
        <v>45231</v>
      </c>
      <c r="C19" t="s">
        <v>12</v>
      </c>
      <c r="D19" t="s">
        <v>10</v>
      </c>
      <c r="E19" t="s">
        <v>16</v>
      </c>
      <c r="F19">
        <v>30</v>
      </c>
    </row>
    <row r="20" spans="1:7" x14ac:dyDescent="0.3">
      <c r="A20" s="2">
        <v>45231</v>
      </c>
      <c r="C20" t="s">
        <v>12</v>
      </c>
      <c r="D20" t="s">
        <v>10</v>
      </c>
      <c r="E20" t="s">
        <v>28</v>
      </c>
      <c r="F20">
        <v>640</v>
      </c>
    </row>
    <row r="21" spans="1:7" x14ac:dyDescent="0.3">
      <c r="A21" s="2">
        <v>45231</v>
      </c>
      <c r="C21" t="s">
        <v>7</v>
      </c>
      <c r="D21" t="s">
        <v>8</v>
      </c>
      <c r="E21" t="s">
        <v>28</v>
      </c>
      <c r="F21">
        <v>640</v>
      </c>
    </row>
    <row r="22" spans="1:7" x14ac:dyDescent="0.3">
      <c r="A22" s="2">
        <v>45261</v>
      </c>
      <c r="C22" t="s">
        <v>7</v>
      </c>
      <c r="D22" t="s">
        <v>10</v>
      </c>
      <c r="E22" t="s">
        <v>9</v>
      </c>
      <c r="F22">
        <v>1000</v>
      </c>
    </row>
    <row r="23" spans="1:7" x14ac:dyDescent="0.3">
      <c r="A23" s="2">
        <v>45261</v>
      </c>
      <c r="C23" t="s">
        <v>12</v>
      </c>
      <c r="D23" t="s">
        <v>10</v>
      </c>
      <c r="E23" t="s">
        <v>18</v>
      </c>
      <c r="F23">
        <v>90</v>
      </c>
      <c r="G23" t="s">
        <v>26</v>
      </c>
    </row>
    <row r="24" spans="1:7" x14ac:dyDescent="0.3">
      <c r="A24" s="2">
        <v>45261</v>
      </c>
      <c r="C24" t="s">
        <v>12</v>
      </c>
      <c r="D24" t="s">
        <v>10</v>
      </c>
      <c r="E24" t="s">
        <v>18</v>
      </c>
      <c r="F24">
        <v>120</v>
      </c>
      <c r="G24" t="s">
        <v>19</v>
      </c>
    </row>
    <row r="25" spans="1:7" x14ac:dyDescent="0.3">
      <c r="A25" s="2">
        <v>45261</v>
      </c>
      <c r="C25" t="s">
        <v>12</v>
      </c>
      <c r="D25" t="s">
        <v>10</v>
      </c>
      <c r="E25" t="s">
        <v>18</v>
      </c>
      <c r="F25">
        <v>70</v>
      </c>
      <c r="G25" t="s">
        <v>27</v>
      </c>
    </row>
    <row r="26" spans="1:7" x14ac:dyDescent="0.3">
      <c r="A26" s="2">
        <v>45261</v>
      </c>
      <c r="C26" t="s">
        <v>12</v>
      </c>
      <c r="D26" t="s">
        <v>10</v>
      </c>
      <c r="E26" t="s">
        <v>21</v>
      </c>
      <c r="F26">
        <v>20</v>
      </c>
      <c r="G26" t="s">
        <v>29</v>
      </c>
    </row>
    <row r="27" spans="1:7" x14ac:dyDescent="0.3">
      <c r="A27" s="2">
        <v>45261</v>
      </c>
      <c r="C27" t="s">
        <v>12</v>
      </c>
      <c r="D27" t="s">
        <v>10</v>
      </c>
      <c r="E27" t="s">
        <v>21</v>
      </c>
      <c r="F27">
        <v>130</v>
      </c>
      <c r="G27" t="s">
        <v>30</v>
      </c>
    </row>
    <row r="28" spans="1:7" x14ac:dyDescent="0.3">
      <c r="A28" s="2">
        <v>45261</v>
      </c>
      <c r="C28" t="s">
        <v>12</v>
      </c>
      <c r="D28" t="s">
        <v>10</v>
      </c>
      <c r="E28" t="s">
        <v>18</v>
      </c>
      <c r="F28">
        <v>90</v>
      </c>
      <c r="G28" t="s">
        <v>25</v>
      </c>
    </row>
    <row r="29" spans="1:7" x14ac:dyDescent="0.3">
      <c r="A29" s="2">
        <v>45261</v>
      </c>
      <c r="C29" t="s">
        <v>12</v>
      </c>
      <c r="D29" t="s">
        <v>10</v>
      </c>
      <c r="E29" t="s">
        <v>18</v>
      </c>
      <c r="F29">
        <v>30</v>
      </c>
      <c r="G29" t="s">
        <v>19</v>
      </c>
    </row>
    <row r="30" spans="1:7" x14ac:dyDescent="0.3">
      <c r="A30" s="2">
        <v>45261</v>
      </c>
      <c r="C30" t="s">
        <v>12</v>
      </c>
      <c r="D30" t="s">
        <v>8</v>
      </c>
      <c r="E30" t="s">
        <v>18</v>
      </c>
      <c r="F30">
        <v>30</v>
      </c>
      <c r="G30" t="s">
        <v>27</v>
      </c>
    </row>
    <row r="31" spans="1:7" x14ac:dyDescent="0.3">
      <c r="A31" s="2">
        <v>45261</v>
      </c>
      <c r="C31" t="s">
        <v>7</v>
      </c>
      <c r="D31" t="s">
        <v>10</v>
      </c>
      <c r="E31" t="s">
        <v>9</v>
      </c>
      <c r="F31">
        <v>700</v>
      </c>
    </row>
    <row r="32" spans="1:7" x14ac:dyDescent="0.3">
      <c r="A32" s="2">
        <v>45261</v>
      </c>
      <c r="C32" t="s">
        <v>12</v>
      </c>
      <c r="D32" t="s">
        <v>10</v>
      </c>
      <c r="E32" t="s">
        <v>18</v>
      </c>
      <c r="F32">
        <v>90</v>
      </c>
      <c r="G32" t="s">
        <v>26</v>
      </c>
    </row>
    <row r="33" spans="1:7" x14ac:dyDescent="0.3">
      <c r="A33" s="2">
        <v>45261</v>
      </c>
      <c r="C33" t="s">
        <v>12</v>
      </c>
      <c r="D33" t="s">
        <v>10</v>
      </c>
      <c r="E33" t="s">
        <v>18</v>
      </c>
      <c r="F33">
        <v>60</v>
      </c>
      <c r="G33" t="s">
        <v>19</v>
      </c>
    </row>
    <row r="34" spans="1:7" x14ac:dyDescent="0.3">
      <c r="A34" s="2">
        <v>45261</v>
      </c>
      <c r="C34" t="s">
        <v>12</v>
      </c>
      <c r="D34" t="s">
        <v>10</v>
      </c>
      <c r="E34" t="s">
        <v>16</v>
      </c>
      <c r="F34">
        <v>40</v>
      </c>
      <c r="G34" t="s">
        <v>31</v>
      </c>
    </row>
    <row r="35" spans="1:7" x14ac:dyDescent="0.3">
      <c r="A35" s="2">
        <v>45261</v>
      </c>
      <c r="C35" t="s">
        <v>12</v>
      </c>
      <c r="D35" t="s">
        <v>10</v>
      </c>
      <c r="E35" t="s">
        <v>16</v>
      </c>
      <c r="F35">
        <v>35</v>
      </c>
      <c r="G35" t="s">
        <v>31</v>
      </c>
    </row>
    <row r="36" spans="1:7" x14ac:dyDescent="0.3">
      <c r="A36" s="2">
        <v>45261</v>
      </c>
      <c r="C36" t="s">
        <v>12</v>
      </c>
      <c r="D36" t="s">
        <v>10</v>
      </c>
      <c r="E36" t="s">
        <v>16</v>
      </c>
      <c r="F36">
        <v>15</v>
      </c>
      <c r="G36" t="s">
        <v>32</v>
      </c>
    </row>
    <row r="37" spans="1:7" x14ac:dyDescent="0.3">
      <c r="A37" s="2">
        <v>45261</v>
      </c>
      <c r="C37" t="s">
        <v>12</v>
      </c>
      <c r="D37" t="s">
        <v>10</v>
      </c>
      <c r="E37" t="s">
        <v>16</v>
      </c>
      <c r="F37">
        <v>30</v>
      </c>
      <c r="G37" t="s">
        <v>33</v>
      </c>
    </row>
    <row r="38" spans="1:7" x14ac:dyDescent="0.3">
      <c r="A38" s="2">
        <v>45261</v>
      </c>
      <c r="C38" t="s">
        <v>12</v>
      </c>
      <c r="D38" t="s">
        <v>10</v>
      </c>
      <c r="E38" t="s">
        <v>18</v>
      </c>
      <c r="F38">
        <v>30</v>
      </c>
      <c r="G38" t="s">
        <v>25</v>
      </c>
    </row>
    <row r="39" spans="1:7" x14ac:dyDescent="0.3">
      <c r="A39" s="2">
        <v>45261</v>
      </c>
      <c r="C39" t="s">
        <v>12</v>
      </c>
      <c r="D39" t="s">
        <v>10</v>
      </c>
      <c r="E39" t="s">
        <v>28</v>
      </c>
      <c r="F39">
        <v>850</v>
      </c>
    </row>
    <row r="40" spans="1:7" x14ac:dyDescent="0.3">
      <c r="A40" s="2">
        <v>45261</v>
      </c>
      <c r="C40" t="s">
        <v>7</v>
      </c>
      <c r="D40" t="s">
        <v>8</v>
      </c>
      <c r="E40" t="s">
        <v>28</v>
      </c>
      <c r="F40">
        <v>850</v>
      </c>
    </row>
    <row r="41" spans="1:7" x14ac:dyDescent="0.3">
      <c r="A41" s="2">
        <v>45292</v>
      </c>
      <c r="C41" t="s">
        <v>7</v>
      </c>
      <c r="D41" t="s">
        <v>10</v>
      </c>
      <c r="E41" t="s">
        <v>9</v>
      </c>
      <c r="F41">
        <v>1000</v>
      </c>
    </row>
    <row r="42" spans="1:7" x14ac:dyDescent="0.3">
      <c r="A42" s="2">
        <v>45292</v>
      </c>
      <c r="C42" t="s">
        <v>12</v>
      </c>
      <c r="D42" t="s">
        <v>10</v>
      </c>
      <c r="E42" t="s">
        <v>18</v>
      </c>
      <c r="F42">
        <v>30</v>
      </c>
      <c r="G42" t="s">
        <v>27</v>
      </c>
    </row>
    <row r="43" spans="1:7" x14ac:dyDescent="0.3">
      <c r="A43" s="2">
        <v>45292</v>
      </c>
      <c r="C43" t="s">
        <v>12</v>
      </c>
      <c r="D43" t="s">
        <v>10</v>
      </c>
      <c r="E43" t="s">
        <v>21</v>
      </c>
      <c r="F43">
        <v>350</v>
      </c>
      <c r="G43" t="s">
        <v>34</v>
      </c>
    </row>
    <row r="44" spans="1:7" x14ac:dyDescent="0.3">
      <c r="A44" s="2">
        <v>45292</v>
      </c>
      <c r="C44" t="s">
        <v>12</v>
      </c>
      <c r="D44" t="s">
        <v>10</v>
      </c>
      <c r="E44" t="s">
        <v>16</v>
      </c>
      <c r="F44">
        <v>250</v>
      </c>
      <c r="G44" t="s">
        <v>33</v>
      </c>
    </row>
    <row r="45" spans="1:7" x14ac:dyDescent="0.3">
      <c r="A45" s="2">
        <v>45292</v>
      </c>
      <c r="C45" t="s">
        <v>12</v>
      </c>
      <c r="D45" t="s">
        <v>8</v>
      </c>
      <c r="E45" t="s">
        <v>35</v>
      </c>
      <c r="F45">
        <v>900</v>
      </c>
      <c r="G45" t="s">
        <v>36</v>
      </c>
    </row>
    <row r="46" spans="1:7" x14ac:dyDescent="0.3">
      <c r="A46" s="2">
        <v>45292</v>
      </c>
      <c r="C46" t="s">
        <v>12</v>
      </c>
      <c r="D46" t="s">
        <v>8</v>
      </c>
      <c r="E46" t="s">
        <v>16</v>
      </c>
      <c r="F46">
        <v>100</v>
      </c>
      <c r="G46" t="s">
        <v>37</v>
      </c>
    </row>
    <row r="47" spans="1:7" x14ac:dyDescent="0.3">
      <c r="A47" s="2">
        <v>45292</v>
      </c>
      <c r="C47" t="s">
        <v>12</v>
      </c>
      <c r="D47" t="s">
        <v>10</v>
      </c>
      <c r="E47" t="s">
        <v>16</v>
      </c>
      <c r="F47">
        <v>110</v>
      </c>
      <c r="G47" t="s">
        <v>38</v>
      </c>
    </row>
    <row r="48" spans="1:7" x14ac:dyDescent="0.3">
      <c r="A48" s="2">
        <v>45292</v>
      </c>
      <c r="C48" t="s">
        <v>12</v>
      </c>
      <c r="D48" t="s">
        <v>10</v>
      </c>
      <c r="E48" t="s">
        <v>28</v>
      </c>
      <c r="F48">
        <v>260</v>
      </c>
    </row>
    <row r="49" spans="1:7" x14ac:dyDescent="0.3">
      <c r="A49" s="2">
        <v>45292</v>
      </c>
      <c r="C49" t="s">
        <v>7</v>
      </c>
      <c r="D49" t="s">
        <v>8</v>
      </c>
      <c r="E49" t="s">
        <v>28</v>
      </c>
      <c r="F49">
        <v>260</v>
      </c>
    </row>
    <row r="50" spans="1:7" x14ac:dyDescent="0.3">
      <c r="A50" s="2">
        <v>45323</v>
      </c>
      <c r="C50" t="s">
        <v>7</v>
      </c>
      <c r="D50" t="s">
        <v>10</v>
      </c>
      <c r="E50" t="s">
        <v>9</v>
      </c>
      <c r="F50">
        <v>1000</v>
      </c>
    </row>
    <row r="51" spans="1:7" x14ac:dyDescent="0.3">
      <c r="A51" s="2">
        <v>45323</v>
      </c>
      <c r="C51" t="s">
        <v>12</v>
      </c>
      <c r="D51" t="s">
        <v>10</v>
      </c>
      <c r="E51" t="s">
        <v>16</v>
      </c>
      <c r="F51">
        <v>100</v>
      </c>
      <c r="G51" t="s">
        <v>39</v>
      </c>
    </row>
    <row r="52" spans="1:7" x14ac:dyDescent="0.3">
      <c r="A52" s="2">
        <v>45323</v>
      </c>
      <c r="C52" t="s">
        <v>12</v>
      </c>
      <c r="D52" t="s">
        <v>10</v>
      </c>
      <c r="E52" t="s">
        <v>16</v>
      </c>
      <c r="F52">
        <v>40</v>
      </c>
      <c r="G52" t="s">
        <v>40</v>
      </c>
    </row>
    <row r="53" spans="1:7" x14ac:dyDescent="0.3">
      <c r="A53" s="2">
        <v>45323</v>
      </c>
      <c r="C53" t="s">
        <v>12</v>
      </c>
      <c r="D53" t="s">
        <v>10</v>
      </c>
      <c r="E53" t="s">
        <v>16</v>
      </c>
      <c r="F53">
        <v>30</v>
      </c>
      <c r="G53" t="s">
        <v>41</v>
      </c>
    </row>
    <row r="54" spans="1:7" x14ac:dyDescent="0.3">
      <c r="A54" s="2">
        <v>45323</v>
      </c>
      <c r="C54" t="s">
        <v>12</v>
      </c>
      <c r="D54" t="s">
        <v>10</v>
      </c>
      <c r="E54" t="s">
        <v>42</v>
      </c>
      <c r="F54">
        <v>60</v>
      </c>
      <c r="G54" t="s">
        <v>43</v>
      </c>
    </row>
    <row r="55" spans="1:7" x14ac:dyDescent="0.3">
      <c r="A55" s="2">
        <v>45323</v>
      </c>
      <c r="C55" t="s">
        <v>12</v>
      </c>
      <c r="D55" t="s">
        <v>10</v>
      </c>
      <c r="E55" t="s">
        <v>16</v>
      </c>
      <c r="F55">
        <v>300</v>
      </c>
      <c r="G55" t="s">
        <v>44</v>
      </c>
    </row>
    <row r="56" spans="1:7" x14ac:dyDescent="0.3">
      <c r="A56" s="2">
        <v>45323</v>
      </c>
      <c r="C56" t="s">
        <v>12</v>
      </c>
      <c r="D56" t="s">
        <v>10</v>
      </c>
      <c r="E56" t="s">
        <v>18</v>
      </c>
      <c r="F56">
        <v>150</v>
      </c>
      <c r="G56" t="s">
        <v>25</v>
      </c>
    </row>
    <row r="57" spans="1:7" x14ac:dyDescent="0.3">
      <c r="A57" s="2">
        <v>45323</v>
      </c>
      <c r="C57" t="s">
        <v>7</v>
      </c>
      <c r="D57" t="s">
        <v>10</v>
      </c>
      <c r="E57" t="s">
        <v>9</v>
      </c>
      <c r="F57">
        <v>500</v>
      </c>
    </row>
    <row r="58" spans="1:7" x14ac:dyDescent="0.3">
      <c r="A58" s="2">
        <v>45323</v>
      </c>
      <c r="C58" t="s">
        <v>12</v>
      </c>
      <c r="D58" t="s">
        <v>10</v>
      </c>
      <c r="E58" t="s">
        <v>18</v>
      </c>
      <c r="F58">
        <v>30</v>
      </c>
      <c r="G58" t="s">
        <v>45</v>
      </c>
    </row>
    <row r="59" spans="1:7" x14ac:dyDescent="0.3">
      <c r="A59" s="2">
        <v>45323</v>
      </c>
      <c r="C59" t="s">
        <v>12</v>
      </c>
      <c r="D59" t="s">
        <v>10</v>
      </c>
      <c r="E59" t="s">
        <v>16</v>
      </c>
      <c r="F59">
        <v>10</v>
      </c>
      <c r="G59" t="s">
        <v>46</v>
      </c>
    </row>
    <row r="60" spans="1:7" x14ac:dyDescent="0.3">
      <c r="A60" s="2">
        <v>45323</v>
      </c>
      <c r="C60" t="s">
        <v>12</v>
      </c>
      <c r="D60" t="s">
        <v>10</v>
      </c>
      <c r="E60" t="s">
        <v>18</v>
      </c>
      <c r="F60">
        <v>150</v>
      </c>
      <c r="G60" t="s">
        <v>25</v>
      </c>
    </row>
    <row r="61" spans="1:7" x14ac:dyDescent="0.3">
      <c r="A61" s="2">
        <v>45323</v>
      </c>
      <c r="C61" t="s">
        <v>12</v>
      </c>
      <c r="D61" t="s">
        <v>10</v>
      </c>
      <c r="E61" t="s">
        <v>16</v>
      </c>
      <c r="F61">
        <v>200</v>
      </c>
      <c r="G61" t="s">
        <v>47</v>
      </c>
    </row>
    <row r="62" spans="1:7" x14ac:dyDescent="0.3">
      <c r="A62" s="2">
        <v>45323</v>
      </c>
      <c r="C62" t="s">
        <v>12</v>
      </c>
      <c r="D62" t="s">
        <v>10</v>
      </c>
      <c r="E62" t="s">
        <v>48</v>
      </c>
      <c r="F62">
        <v>130</v>
      </c>
      <c r="G62" t="s">
        <v>49</v>
      </c>
    </row>
    <row r="63" spans="1:7" x14ac:dyDescent="0.3">
      <c r="A63" s="2">
        <v>45323</v>
      </c>
      <c r="C63" t="s">
        <v>12</v>
      </c>
      <c r="D63" t="s">
        <v>8</v>
      </c>
      <c r="E63" t="s">
        <v>48</v>
      </c>
      <c r="F63">
        <v>200</v>
      </c>
      <c r="G63" t="s">
        <v>49</v>
      </c>
    </row>
    <row r="64" spans="1:7" x14ac:dyDescent="0.3">
      <c r="A64" s="2">
        <v>45323</v>
      </c>
      <c r="C64" t="s">
        <v>12</v>
      </c>
      <c r="D64" t="s">
        <v>10</v>
      </c>
      <c r="E64" t="s">
        <v>28</v>
      </c>
      <c r="F64">
        <v>300</v>
      </c>
    </row>
    <row r="65" spans="1:7" x14ac:dyDescent="0.3">
      <c r="A65" s="2">
        <v>45323</v>
      </c>
      <c r="C65" t="s">
        <v>7</v>
      </c>
      <c r="D65" t="s">
        <v>8</v>
      </c>
      <c r="E65" t="s">
        <v>28</v>
      </c>
      <c r="F65">
        <v>300</v>
      </c>
    </row>
    <row r="66" spans="1:7" x14ac:dyDescent="0.3">
      <c r="A66" s="2">
        <v>45352</v>
      </c>
      <c r="C66" t="s">
        <v>7</v>
      </c>
      <c r="D66" t="s">
        <v>10</v>
      </c>
      <c r="E66" t="s">
        <v>9</v>
      </c>
      <c r="F66">
        <v>800</v>
      </c>
    </row>
    <row r="67" spans="1:7" x14ac:dyDescent="0.3">
      <c r="A67" s="2">
        <v>45352</v>
      </c>
      <c r="C67" t="s">
        <v>12</v>
      </c>
      <c r="D67" t="s">
        <v>8</v>
      </c>
      <c r="E67" t="s">
        <v>50</v>
      </c>
      <c r="F67">
        <v>100</v>
      </c>
      <c r="G67" t="s">
        <v>51</v>
      </c>
    </row>
    <row r="68" spans="1:7" x14ac:dyDescent="0.3">
      <c r="A68" s="2">
        <v>45352</v>
      </c>
      <c r="C68" t="s">
        <v>12</v>
      </c>
      <c r="D68" t="s">
        <v>8</v>
      </c>
      <c r="E68" t="s">
        <v>16</v>
      </c>
      <c r="F68">
        <v>100</v>
      </c>
      <c r="G68" t="s">
        <v>52</v>
      </c>
    </row>
    <row r="69" spans="1:7" x14ac:dyDescent="0.3">
      <c r="A69" s="2">
        <v>45352</v>
      </c>
      <c r="C69" t="s">
        <v>12</v>
      </c>
      <c r="D69" t="s">
        <v>10</v>
      </c>
      <c r="E69" t="s">
        <v>18</v>
      </c>
      <c r="F69">
        <v>180</v>
      </c>
      <c r="G69" t="s">
        <v>25</v>
      </c>
    </row>
    <row r="70" spans="1:7" x14ac:dyDescent="0.3">
      <c r="A70" s="2">
        <v>45352</v>
      </c>
      <c r="C70" t="s">
        <v>12</v>
      </c>
      <c r="D70" t="s">
        <v>10</v>
      </c>
      <c r="E70" t="s">
        <v>18</v>
      </c>
      <c r="F70">
        <v>190</v>
      </c>
      <c r="G70" t="s">
        <v>26</v>
      </c>
    </row>
    <row r="71" spans="1:7" x14ac:dyDescent="0.3">
      <c r="A71" s="2">
        <v>45352</v>
      </c>
      <c r="C71" t="s">
        <v>12</v>
      </c>
      <c r="D71" t="s">
        <v>10</v>
      </c>
      <c r="E71" t="s">
        <v>16</v>
      </c>
      <c r="F71">
        <v>30</v>
      </c>
      <c r="G71" t="s">
        <v>53</v>
      </c>
    </row>
    <row r="72" spans="1:7" x14ac:dyDescent="0.3">
      <c r="A72" s="2">
        <v>45352</v>
      </c>
      <c r="C72" t="s">
        <v>12</v>
      </c>
      <c r="D72" t="s">
        <v>10</v>
      </c>
      <c r="E72" t="s">
        <v>18</v>
      </c>
      <c r="F72">
        <v>130</v>
      </c>
      <c r="G72" t="s">
        <v>19</v>
      </c>
    </row>
    <row r="73" spans="1:7" x14ac:dyDescent="0.3">
      <c r="A73" s="2">
        <v>45352</v>
      </c>
      <c r="C73" t="s">
        <v>12</v>
      </c>
      <c r="D73" t="s">
        <v>10</v>
      </c>
      <c r="E73" t="s">
        <v>18</v>
      </c>
      <c r="F73">
        <v>10</v>
      </c>
      <c r="G73" t="s">
        <v>27</v>
      </c>
    </row>
    <row r="74" spans="1:7" x14ac:dyDescent="0.3">
      <c r="A74" s="2">
        <v>45352</v>
      </c>
      <c r="C74" t="s">
        <v>12</v>
      </c>
      <c r="D74" t="s">
        <v>8</v>
      </c>
      <c r="E74" t="s">
        <v>35</v>
      </c>
      <c r="F74">
        <v>2300</v>
      </c>
      <c r="G74" t="s">
        <v>54</v>
      </c>
    </row>
    <row r="75" spans="1:7" x14ac:dyDescent="0.3">
      <c r="A75" s="2">
        <v>45352</v>
      </c>
      <c r="C75" t="s">
        <v>12</v>
      </c>
      <c r="D75" t="s">
        <v>8</v>
      </c>
      <c r="E75" t="s">
        <v>35</v>
      </c>
      <c r="F75">
        <v>850</v>
      </c>
      <c r="G75" t="s">
        <v>55</v>
      </c>
    </row>
    <row r="76" spans="1:7" x14ac:dyDescent="0.3">
      <c r="A76" s="2">
        <v>45352</v>
      </c>
      <c r="C76" t="s">
        <v>12</v>
      </c>
      <c r="D76" t="s">
        <v>8</v>
      </c>
      <c r="E76" t="s">
        <v>56</v>
      </c>
      <c r="F76">
        <v>300</v>
      </c>
      <c r="G76" t="s">
        <v>57</v>
      </c>
    </row>
    <row r="77" spans="1:7" x14ac:dyDescent="0.3">
      <c r="A77" s="2">
        <v>45352</v>
      </c>
      <c r="C77" t="s">
        <v>12</v>
      </c>
      <c r="D77" t="s">
        <v>10</v>
      </c>
      <c r="E77" t="s">
        <v>28</v>
      </c>
      <c r="F77">
        <v>260</v>
      </c>
    </row>
    <row r="78" spans="1:7" x14ac:dyDescent="0.3">
      <c r="A78" s="2">
        <v>45352</v>
      </c>
      <c r="C78" t="s">
        <v>7</v>
      </c>
      <c r="D78" t="s">
        <v>8</v>
      </c>
      <c r="E78" t="s">
        <v>28</v>
      </c>
      <c r="F78">
        <v>260</v>
      </c>
    </row>
    <row r="79" spans="1:7" x14ac:dyDescent="0.3">
      <c r="A79" s="2">
        <v>45444</v>
      </c>
      <c r="C79" t="s">
        <v>7</v>
      </c>
      <c r="D79" t="s">
        <v>10</v>
      </c>
      <c r="E79" t="s">
        <v>9</v>
      </c>
      <c r="F79">
        <v>850</v>
      </c>
    </row>
    <row r="80" spans="1:7" x14ac:dyDescent="0.3">
      <c r="A80" s="2">
        <v>45444</v>
      </c>
      <c r="C80" t="s">
        <v>12</v>
      </c>
      <c r="D80" t="s">
        <v>10</v>
      </c>
      <c r="E80" t="s">
        <v>18</v>
      </c>
      <c r="F80">
        <v>70</v>
      </c>
      <c r="G80" t="s">
        <v>19</v>
      </c>
    </row>
    <row r="81" spans="1:7" x14ac:dyDescent="0.3">
      <c r="A81" s="2">
        <v>45444</v>
      </c>
      <c r="C81" t="s">
        <v>12</v>
      </c>
      <c r="D81" t="s">
        <v>10</v>
      </c>
      <c r="E81" t="s">
        <v>16</v>
      </c>
      <c r="F81">
        <v>50</v>
      </c>
      <c r="G81" t="s">
        <v>47</v>
      </c>
    </row>
    <row r="82" spans="1:7" x14ac:dyDescent="0.3">
      <c r="A82" s="2">
        <v>45444</v>
      </c>
      <c r="C82" t="s">
        <v>12</v>
      </c>
      <c r="D82" t="s">
        <v>8</v>
      </c>
      <c r="E82" t="s">
        <v>16</v>
      </c>
      <c r="F82">
        <v>20</v>
      </c>
      <c r="G82" t="s">
        <v>53</v>
      </c>
    </row>
    <row r="83" spans="1:7" x14ac:dyDescent="0.3">
      <c r="A83" s="2">
        <v>45444</v>
      </c>
      <c r="C83" t="s">
        <v>12</v>
      </c>
      <c r="D83" t="s">
        <v>10</v>
      </c>
      <c r="E83" t="s">
        <v>13</v>
      </c>
      <c r="F83">
        <v>200</v>
      </c>
      <c r="G83" t="s">
        <v>58</v>
      </c>
    </row>
    <row r="84" spans="1:7" x14ac:dyDescent="0.3">
      <c r="A84" s="2">
        <v>45444</v>
      </c>
      <c r="C84" t="s">
        <v>12</v>
      </c>
      <c r="D84" t="s">
        <v>10</v>
      </c>
      <c r="E84" t="s">
        <v>16</v>
      </c>
      <c r="F84">
        <v>100</v>
      </c>
      <c r="G84" t="s">
        <v>59</v>
      </c>
    </row>
    <row r="85" spans="1:7" x14ac:dyDescent="0.3">
      <c r="A85" s="2">
        <v>45444</v>
      </c>
      <c r="C85" t="s">
        <v>12</v>
      </c>
      <c r="D85" t="s">
        <v>10</v>
      </c>
      <c r="E85" t="s">
        <v>16</v>
      </c>
      <c r="F85">
        <v>40</v>
      </c>
      <c r="G85" t="s">
        <v>60</v>
      </c>
    </row>
    <row r="86" spans="1:7" x14ac:dyDescent="0.3">
      <c r="A86" s="2">
        <v>45444</v>
      </c>
      <c r="C86" t="s">
        <v>12</v>
      </c>
      <c r="D86" t="s">
        <v>10</v>
      </c>
      <c r="E86" t="s">
        <v>16</v>
      </c>
      <c r="F86">
        <v>120</v>
      </c>
      <c r="G86" t="s">
        <v>61</v>
      </c>
    </row>
    <row r="87" spans="1:7" x14ac:dyDescent="0.3">
      <c r="A87" s="2">
        <v>45444</v>
      </c>
      <c r="C87" t="s">
        <v>12</v>
      </c>
      <c r="D87" t="s">
        <v>10</v>
      </c>
      <c r="E87" t="s">
        <v>16</v>
      </c>
      <c r="F87">
        <v>150</v>
      </c>
      <c r="G87" t="s">
        <v>62</v>
      </c>
    </row>
    <row r="88" spans="1:7" x14ac:dyDescent="0.3">
      <c r="A88" s="2">
        <v>45444</v>
      </c>
      <c r="C88" t="s">
        <v>12</v>
      </c>
      <c r="D88" t="s">
        <v>10</v>
      </c>
      <c r="E88" t="s">
        <v>16</v>
      </c>
      <c r="F88">
        <v>60</v>
      </c>
      <c r="G88" t="s">
        <v>63</v>
      </c>
    </row>
    <row r="89" spans="1:7" x14ac:dyDescent="0.3">
      <c r="A89" s="2">
        <v>45444</v>
      </c>
      <c r="C89" t="s">
        <v>12</v>
      </c>
      <c r="D89" t="s">
        <v>10</v>
      </c>
      <c r="E89" t="s">
        <v>16</v>
      </c>
      <c r="F89">
        <v>60</v>
      </c>
      <c r="G89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E33E5-7B57-418C-AF85-897924F551E5}">
  <dimension ref="A1:K169"/>
  <sheetViews>
    <sheetView topLeftCell="A156" workbookViewId="0">
      <selection activeCell="L14" sqref="L14"/>
    </sheetView>
  </sheetViews>
  <sheetFormatPr defaultRowHeight="14.4" x14ac:dyDescent="0.3"/>
  <cols>
    <col min="1" max="1" width="19.109375" customWidth="1"/>
    <col min="2" max="2" width="5.5546875" bestFit="1" customWidth="1"/>
    <col min="3" max="3" width="11.109375" bestFit="1" customWidth="1"/>
    <col min="4" max="4" width="6.88671875" bestFit="1" customWidth="1"/>
    <col min="5" max="5" width="13.33203125" bestFit="1" customWidth="1"/>
    <col min="6" max="6" width="7.88671875" bestFit="1" customWidth="1"/>
    <col min="7" max="7" width="10.6640625" bestFit="1" customWidth="1"/>
    <col min="11" max="11" width="8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s="2">
        <v>45505</v>
      </c>
      <c r="B2" s="4">
        <v>0.47916666666666669</v>
      </c>
      <c r="C2" t="s">
        <v>7</v>
      </c>
      <c r="D2" t="s">
        <v>10</v>
      </c>
      <c r="E2" t="s">
        <v>9</v>
      </c>
      <c r="F2">
        <v>480</v>
      </c>
    </row>
    <row r="3" spans="1:11" x14ac:dyDescent="0.3">
      <c r="A3" s="2">
        <v>45505</v>
      </c>
      <c r="B3" s="4">
        <v>0.47916666666666669</v>
      </c>
      <c r="C3" t="s">
        <v>7</v>
      </c>
      <c r="D3" t="s">
        <v>8</v>
      </c>
      <c r="E3" t="s">
        <v>9</v>
      </c>
      <c r="F3">
        <v>5820</v>
      </c>
      <c r="J3" t="s">
        <v>11</v>
      </c>
      <c r="K3">
        <f>SUMIFS(F2:F206,C2:C206,"="&amp;"Income",D2:D206,"="&amp;"Cash")-SUMIFS(F2:F206,C2:C206,"="&amp;"Expense",D2:D206,"="&amp;"Cash")</f>
        <v>310</v>
      </c>
    </row>
    <row r="4" spans="1:11" x14ac:dyDescent="0.3">
      <c r="A4" s="2">
        <v>45509</v>
      </c>
      <c r="B4" s="3">
        <v>0.70138888888888884</v>
      </c>
      <c r="C4" t="s">
        <v>7</v>
      </c>
      <c r="D4" t="s">
        <v>10</v>
      </c>
      <c r="E4" t="s">
        <v>9</v>
      </c>
      <c r="F4">
        <v>850</v>
      </c>
      <c r="J4" t="s">
        <v>15</v>
      </c>
      <c r="K4">
        <f>SUMIFS(F2:F206,C2:C206,"="&amp;"Income",D2:D206,"="&amp;"Savings")-SUMIFS(F2:F206,C2:C206,"="&amp;"Expense",D2:D206,"="&amp;"Savings")</f>
        <v>10600</v>
      </c>
    </row>
    <row r="5" spans="1:11" x14ac:dyDescent="0.3">
      <c r="A5" s="2">
        <v>45509</v>
      </c>
      <c r="B5" s="4">
        <v>0.70138888888888884</v>
      </c>
      <c r="C5" t="s">
        <v>12</v>
      </c>
      <c r="D5" t="s">
        <v>10</v>
      </c>
      <c r="E5" t="s">
        <v>18</v>
      </c>
      <c r="F5">
        <v>70</v>
      </c>
      <c r="G5" t="s">
        <v>19</v>
      </c>
    </row>
    <row r="6" spans="1:11" x14ac:dyDescent="0.3">
      <c r="A6" s="2">
        <v>45510</v>
      </c>
      <c r="B6" s="4">
        <v>0.35</v>
      </c>
      <c r="C6" t="s">
        <v>12</v>
      </c>
      <c r="D6" t="s">
        <v>10</v>
      </c>
      <c r="E6" t="s">
        <v>16</v>
      </c>
      <c r="F6">
        <v>20</v>
      </c>
    </row>
    <row r="7" spans="1:11" x14ac:dyDescent="0.3">
      <c r="A7" s="2">
        <v>45513</v>
      </c>
      <c r="B7" s="4">
        <v>0.64513888888888893</v>
      </c>
      <c r="C7" t="s">
        <v>12</v>
      </c>
      <c r="D7" t="s">
        <v>10</v>
      </c>
      <c r="E7" t="s">
        <v>16</v>
      </c>
      <c r="F7">
        <v>10</v>
      </c>
      <c r="G7" t="s">
        <v>64</v>
      </c>
    </row>
    <row r="8" spans="1:11" x14ac:dyDescent="0.3">
      <c r="A8" s="2">
        <v>45514</v>
      </c>
      <c r="B8" s="4">
        <v>0.38333333333333336</v>
      </c>
      <c r="C8" t="s">
        <v>12</v>
      </c>
      <c r="D8" t="s">
        <v>10</v>
      </c>
      <c r="E8" t="s">
        <v>65</v>
      </c>
      <c r="F8">
        <v>200</v>
      </c>
    </row>
    <row r="9" spans="1:11" x14ac:dyDescent="0.3">
      <c r="A9" s="2">
        <v>45515</v>
      </c>
      <c r="B9" s="4">
        <v>6.0416666666666667E-2</v>
      </c>
      <c r="C9" t="s">
        <v>12</v>
      </c>
      <c r="D9" t="s">
        <v>10</v>
      </c>
      <c r="E9" t="s">
        <v>18</v>
      </c>
      <c r="F9">
        <v>150</v>
      </c>
      <c r="G9" t="s">
        <v>19</v>
      </c>
    </row>
    <row r="10" spans="1:11" x14ac:dyDescent="0.3">
      <c r="A10" s="2">
        <v>45515</v>
      </c>
      <c r="B10" s="4">
        <v>0.1076388888888889</v>
      </c>
      <c r="C10" t="s">
        <v>12</v>
      </c>
      <c r="D10" t="s">
        <v>10</v>
      </c>
      <c r="E10" t="s">
        <v>48</v>
      </c>
      <c r="F10">
        <v>300</v>
      </c>
      <c r="G10" t="s">
        <v>66</v>
      </c>
    </row>
    <row r="11" spans="1:11" x14ac:dyDescent="0.3">
      <c r="A11" s="2">
        <v>45515</v>
      </c>
      <c r="B11" s="4">
        <v>0.90138888888888891</v>
      </c>
      <c r="C11" t="s">
        <v>7</v>
      </c>
      <c r="D11" t="s">
        <v>10</v>
      </c>
      <c r="E11" t="s">
        <v>9</v>
      </c>
      <c r="F11">
        <v>550</v>
      </c>
    </row>
    <row r="12" spans="1:11" x14ac:dyDescent="0.3">
      <c r="A12" s="2">
        <v>45518</v>
      </c>
      <c r="B12" s="4">
        <v>0.33333333333333331</v>
      </c>
      <c r="C12" t="s">
        <v>12</v>
      </c>
      <c r="D12" t="s">
        <v>10</v>
      </c>
      <c r="E12" t="s">
        <v>18</v>
      </c>
      <c r="F12">
        <v>70</v>
      </c>
      <c r="G12" t="s">
        <v>19</v>
      </c>
    </row>
    <row r="13" spans="1:11" x14ac:dyDescent="0.3">
      <c r="A13" s="2">
        <v>45518</v>
      </c>
      <c r="B13" s="4">
        <v>0.59375</v>
      </c>
      <c r="C13" t="s">
        <v>12</v>
      </c>
      <c r="D13" t="s">
        <v>10</v>
      </c>
      <c r="E13" t="s">
        <v>18</v>
      </c>
      <c r="F13">
        <v>30</v>
      </c>
      <c r="G13" t="s">
        <v>67</v>
      </c>
    </row>
    <row r="14" spans="1:11" x14ac:dyDescent="0.3">
      <c r="A14" s="2">
        <v>45518</v>
      </c>
      <c r="B14" s="4">
        <v>0.65416666666666667</v>
      </c>
      <c r="C14" t="s">
        <v>12</v>
      </c>
      <c r="D14" t="s">
        <v>10</v>
      </c>
      <c r="E14" t="s">
        <v>18</v>
      </c>
      <c r="F14">
        <v>120</v>
      </c>
      <c r="G14" t="s">
        <v>25</v>
      </c>
    </row>
    <row r="15" spans="1:11" x14ac:dyDescent="0.3">
      <c r="A15" s="2">
        <v>45522</v>
      </c>
      <c r="B15" s="4">
        <v>0.94861111111111107</v>
      </c>
      <c r="C15" t="s">
        <v>7</v>
      </c>
      <c r="D15" t="s">
        <v>10</v>
      </c>
      <c r="E15" t="s">
        <v>9</v>
      </c>
      <c r="F15">
        <v>500</v>
      </c>
    </row>
    <row r="16" spans="1:11" x14ac:dyDescent="0.3">
      <c r="A16" s="2">
        <v>45523</v>
      </c>
      <c r="B16" s="4">
        <v>0.54861111111111116</v>
      </c>
      <c r="C16" t="s">
        <v>12</v>
      </c>
      <c r="D16" t="s">
        <v>10</v>
      </c>
      <c r="E16" t="s">
        <v>16</v>
      </c>
      <c r="F16">
        <v>45</v>
      </c>
      <c r="G16" t="s">
        <v>68</v>
      </c>
    </row>
    <row r="17" spans="1:7" x14ac:dyDescent="0.3">
      <c r="A17" s="2">
        <v>45523</v>
      </c>
      <c r="B17" s="4">
        <v>0.67708333333333337</v>
      </c>
      <c r="C17" t="s">
        <v>12</v>
      </c>
      <c r="D17" t="s">
        <v>10</v>
      </c>
      <c r="E17" t="s">
        <v>50</v>
      </c>
      <c r="F17">
        <v>20</v>
      </c>
      <c r="G17" t="s">
        <v>69</v>
      </c>
    </row>
    <row r="18" spans="1:7" x14ac:dyDescent="0.3">
      <c r="A18" s="2">
        <v>45523</v>
      </c>
      <c r="B18" s="4">
        <v>0.68055555555555558</v>
      </c>
      <c r="C18" t="s">
        <v>12</v>
      </c>
      <c r="D18" t="s">
        <v>10</v>
      </c>
      <c r="E18" t="s">
        <v>70</v>
      </c>
      <c r="F18">
        <v>150</v>
      </c>
      <c r="G18" t="s">
        <v>71</v>
      </c>
    </row>
    <row r="19" spans="1:7" x14ac:dyDescent="0.3">
      <c r="A19" s="2">
        <v>45526</v>
      </c>
      <c r="B19" s="4">
        <v>0.34305555555555556</v>
      </c>
      <c r="C19" t="s">
        <v>12</v>
      </c>
      <c r="D19" t="s">
        <v>10</v>
      </c>
      <c r="E19" t="s">
        <v>16</v>
      </c>
      <c r="F19">
        <v>10</v>
      </c>
      <c r="G19" t="s">
        <v>64</v>
      </c>
    </row>
    <row r="20" spans="1:7" x14ac:dyDescent="0.3">
      <c r="A20" s="2">
        <v>45526</v>
      </c>
      <c r="B20" s="4">
        <v>0.61250000000000004</v>
      </c>
      <c r="C20" t="s">
        <v>12</v>
      </c>
      <c r="D20" t="s">
        <v>10</v>
      </c>
      <c r="E20" t="s">
        <v>18</v>
      </c>
      <c r="F20">
        <v>85</v>
      </c>
      <c r="G20" t="s">
        <v>19</v>
      </c>
    </row>
    <row r="21" spans="1:7" x14ac:dyDescent="0.3">
      <c r="A21" s="2">
        <v>45526</v>
      </c>
      <c r="B21" s="4">
        <v>0.80069444444444449</v>
      </c>
      <c r="C21" t="s">
        <v>12</v>
      </c>
      <c r="D21" t="s">
        <v>10</v>
      </c>
      <c r="E21" t="s">
        <v>18</v>
      </c>
      <c r="F21">
        <v>150</v>
      </c>
      <c r="G21" t="s">
        <v>25</v>
      </c>
    </row>
    <row r="22" spans="1:7" x14ac:dyDescent="0.3">
      <c r="A22" s="2">
        <v>45529</v>
      </c>
      <c r="B22" s="4">
        <v>0.71944444444444444</v>
      </c>
      <c r="C22" t="s">
        <v>12</v>
      </c>
      <c r="D22" t="s">
        <v>8</v>
      </c>
      <c r="E22" t="s">
        <v>72</v>
      </c>
      <c r="F22">
        <v>300</v>
      </c>
    </row>
    <row r="23" spans="1:7" x14ac:dyDescent="0.3">
      <c r="A23" s="2">
        <v>45530</v>
      </c>
      <c r="B23" s="4">
        <v>0.35347222222222224</v>
      </c>
      <c r="C23" t="s">
        <v>12</v>
      </c>
      <c r="D23" t="s">
        <v>10</v>
      </c>
      <c r="E23" t="s">
        <v>70</v>
      </c>
      <c r="F23">
        <v>50</v>
      </c>
    </row>
    <row r="24" spans="1:7" x14ac:dyDescent="0.3">
      <c r="A24" s="2">
        <v>45531</v>
      </c>
      <c r="B24" s="4">
        <v>0.22916666666666666</v>
      </c>
      <c r="C24" t="s">
        <v>12</v>
      </c>
      <c r="D24" t="s">
        <v>10</v>
      </c>
      <c r="E24" t="s">
        <v>18</v>
      </c>
      <c r="F24">
        <v>100</v>
      </c>
      <c r="G24" t="s">
        <v>26</v>
      </c>
    </row>
    <row r="25" spans="1:7" x14ac:dyDescent="0.3">
      <c r="A25" s="2">
        <v>45534</v>
      </c>
      <c r="B25" s="4">
        <v>0.63194444444444442</v>
      </c>
      <c r="C25" t="s">
        <v>12</v>
      </c>
      <c r="D25" t="s">
        <v>10</v>
      </c>
      <c r="E25" t="s">
        <v>70</v>
      </c>
      <c r="F25">
        <v>100</v>
      </c>
    </row>
    <row r="26" spans="1:7" x14ac:dyDescent="0.3">
      <c r="A26" s="2">
        <v>45535</v>
      </c>
      <c r="B26" s="4">
        <v>0.73055555555555551</v>
      </c>
      <c r="C26" t="s">
        <v>12</v>
      </c>
      <c r="D26" t="s">
        <v>10</v>
      </c>
      <c r="E26" t="s">
        <v>16</v>
      </c>
      <c r="F26">
        <v>30</v>
      </c>
      <c r="G26" t="s">
        <v>73</v>
      </c>
    </row>
    <row r="27" spans="1:7" x14ac:dyDescent="0.3">
      <c r="A27" s="2">
        <v>45537</v>
      </c>
      <c r="B27" s="4">
        <v>0.61458333333333337</v>
      </c>
      <c r="C27" t="s">
        <v>7</v>
      </c>
      <c r="D27" t="s">
        <v>10</v>
      </c>
      <c r="E27" t="s">
        <v>9</v>
      </c>
      <c r="F27">
        <v>500</v>
      </c>
    </row>
    <row r="28" spans="1:7" x14ac:dyDescent="0.3">
      <c r="A28" s="2">
        <v>45537</v>
      </c>
      <c r="B28" s="4">
        <v>0.72777777777777775</v>
      </c>
      <c r="C28" t="s">
        <v>12</v>
      </c>
      <c r="D28" t="s">
        <v>10</v>
      </c>
      <c r="E28" t="s">
        <v>18</v>
      </c>
      <c r="F28">
        <v>30</v>
      </c>
      <c r="G28" t="s">
        <v>45</v>
      </c>
    </row>
    <row r="29" spans="1:7" x14ac:dyDescent="0.3">
      <c r="A29" s="2">
        <v>45540</v>
      </c>
      <c r="B29" s="4">
        <v>0.3347222222222222</v>
      </c>
      <c r="C29" t="s">
        <v>12</v>
      </c>
      <c r="D29" t="s">
        <v>10</v>
      </c>
      <c r="E29" t="s">
        <v>65</v>
      </c>
      <c r="F29">
        <v>200</v>
      </c>
    </row>
    <row r="30" spans="1:7" x14ac:dyDescent="0.3">
      <c r="A30" s="2">
        <v>45542</v>
      </c>
      <c r="B30" s="4">
        <v>0.6875</v>
      </c>
      <c r="C30" t="s">
        <v>12</v>
      </c>
      <c r="D30" t="s">
        <v>10</v>
      </c>
      <c r="E30" t="s">
        <v>16</v>
      </c>
      <c r="F30">
        <v>20</v>
      </c>
      <c r="G30" t="s">
        <v>64</v>
      </c>
    </row>
    <row r="31" spans="1:7" x14ac:dyDescent="0.3">
      <c r="A31" s="2">
        <v>45544</v>
      </c>
      <c r="B31" s="4">
        <v>0.69027777777777777</v>
      </c>
      <c r="C31" t="s">
        <v>12</v>
      </c>
      <c r="D31" t="s">
        <v>10</v>
      </c>
      <c r="E31" t="s">
        <v>18</v>
      </c>
      <c r="F31">
        <v>70</v>
      </c>
      <c r="G31" t="s">
        <v>19</v>
      </c>
    </row>
    <row r="32" spans="1:7" x14ac:dyDescent="0.3">
      <c r="A32" s="2">
        <v>45546</v>
      </c>
      <c r="B32" s="4">
        <v>0.35902777777777778</v>
      </c>
      <c r="C32" t="s">
        <v>12</v>
      </c>
      <c r="D32" t="s">
        <v>10</v>
      </c>
      <c r="E32" t="s">
        <v>16</v>
      </c>
      <c r="F32">
        <v>10</v>
      </c>
      <c r="G32" t="s">
        <v>64</v>
      </c>
    </row>
    <row r="33" spans="1:7" x14ac:dyDescent="0.3">
      <c r="A33" s="2">
        <v>45547</v>
      </c>
      <c r="B33" s="4">
        <v>0.37222222222222223</v>
      </c>
      <c r="C33" t="s">
        <v>12</v>
      </c>
      <c r="D33" t="s">
        <v>10</v>
      </c>
      <c r="E33" t="s">
        <v>28</v>
      </c>
      <c r="F33">
        <v>60</v>
      </c>
    </row>
    <row r="34" spans="1:7" x14ac:dyDescent="0.3">
      <c r="A34" s="2">
        <v>45547</v>
      </c>
      <c r="B34" s="4">
        <v>0.37222222222222223</v>
      </c>
      <c r="C34" t="s">
        <v>7</v>
      </c>
      <c r="D34" t="s">
        <v>8</v>
      </c>
      <c r="E34" t="s">
        <v>28</v>
      </c>
      <c r="F34">
        <v>60</v>
      </c>
    </row>
    <row r="35" spans="1:7" x14ac:dyDescent="0.3">
      <c r="A35" s="2">
        <v>45548</v>
      </c>
      <c r="B35" s="4">
        <v>0.63611111111111107</v>
      </c>
      <c r="C35" t="s">
        <v>12</v>
      </c>
      <c r="D35" t="s">
        <v>10</v>
      </c>
      <c r="E35" t="s">
        <v>16</v>
      </c>
      <c r="F35">
        <v>20</v>
      </c>
      <c r="G35" t="s">
        <v>53</v>
      </c>
    </row>
    <row r="36" spans="1:7" x14ac:dyDescent="0.3">
      <c r="A36" s="2">
        <v>45549</v>
      </c>
      <c r="B36" s="4">
        <v>0.59444444444444444</v>
      </c>
      <c r="C36" t="s">
        <v>12</v>
      </c>
      <c r="D36" t="s">
        <v>8</v>
      </c>
      <c r="E36" t="s">
        <v>50</v>
      </c>
      <c r="F36">
        <v>600</v>
      </c>
      <c r="G36" t="s">
        <v>74</v>
      </c>
    </row>
    <row r="37" spans="1:7" x14ac:dyDescent="0.3">
      <c r="A37" s="2">
        <v>45549</v>
      </c>
      <c r="B37" s="4">
        <v>0.65763888888888888</v>
      </c>
      <c r="C37" t="s">
        <v>12</v>
      </c>
      <c r="D37" t="s">
        <v>10</v>
      </c>
      <c r="E37" t="s">
        <v>16</v>
      </c>
      <c r="F37">
        <v>30</v>
      </c>
    </row>
    <row r="38" spans="1:7" x14ac:dyDescent="0.3">
      <c r="A38" s="2">
        <v>45551</v>
      </c>
      <c r="B38" s="4">
        <v>0.82916666666666672</v>
      </c>
      <c r="C38" t="s">
        <v>7</v>
      </c>
      <c r="D38" t="s">
        <v>10</v>
      </c>
      <c r="E38" t="s">
        <v>9</v>
      </c>
      <c r="F38">
        <v>360</v>
      </c>
    </row>
    <row r="39" spans="1:7" x14ac:dyDescent="0.3">
      <c r="A39" s="2">
        <v>45552</v>
      </c>
      <c r="B39" s="4">
        <v>0.20347222222222222</v>
      </c>
      <c r="C39" t="s">
        <v>12</v>
      </c>
      <c r="D39" t="s">
        <v>10</v>
      </c>
      <c r="E39" t="s">
        <v>18</v>
      </c>
      <c r="F39">
        <v>100</v>
      </c>
      <c r="G39" t="s">
        <v>26</v>
      </c>
    </row>
    <row r="40" spans="1:7" x14ac:dyDescent="0.3">
      <c r="A40" s="2">
        <v>45552</v>
      </c>
      <c r="B40" s="4">
        <v>0.32847222222222222</v>
      </c>
      <c r="C40" t="s">
        <v>12</v>
      </c>
      <c r="D40" t="s">
        <v>10</v>
      </c>
      <c r="E40" t="s">
        <v>16</v>
      </c>
      <c r="F40">
        <v>160</v>
      </c>
    </row>
    <row r="41" spans="1:7" x14ac:dyDescent="0.3">
      <c r="A41" s="2">
        <v>45553</v>
      </c>
      <c r="B41" s="4">
        <v>0.3298611111111111</v>
      </c>
      <c r="C41" t="s">
        <v>7</v>
      </c>
      <c r="D41" t="s">
        <v>8</v>
      </c>
      <c r="E41" t="s">
        <v>9</v>
      </c>
      <c r="F41">
        <v>50</v>
      </c>
    </row>
    <row r="42" spans="1:7" x14ac:dyDescent="0.3">
      <c r="A42" s="2">
        <v>45554</v>
      </c>
      <c r="B42" s="4">
        <v>0.34166666666666667</v>
      </c>
      <c r="C42" t="s">
        <v>12</v>
      </c>
      <c r="D42" t="s">
        <v>10</v>
      </c>
      <c r="E42" t="s">
        <v>16</v>
      </c>
      <c r="F42">
        <v>10</v>
      </c>
      <c r="G42" t="s">
        <v>64</v>
      </c>
    </row>
    <row r="43" spans="1:7" x14ac:dyDescent="0.3">
      <c r="A43" s="2">
        <v>45555</v>
      </c>
      <c r="B43" s="4">
        <v>0.59097222222222223</v>
      </c>
      <c r="C43" t="s">
        <v>12</v>
      </c>
      <c r="D43" t="s">
        <v>10</v>
      </c>
      <c r="E43" t="s">
        <v>21</v>
      </c>
      <c r="F43">
        <v>40</v>
      </c>
      <c r="G43" t="s">
        <v>75</v>
      </c>
    </row>
    <row r="44" spans="1:7" x14ac:dyDescent="0.3">
      <c r="A44" s="2">
        <v>45559</v>
      </c>
      <c r="B44" s="4">
        <v>0.69305555555555554</v>
      </c>
      <c r="C44" t="s">
        <v>12</v>
      </c>
      <c r="D44" t="s">
        <v>10</v>
      </c>
      <c r="E44" t="s">
        <v>16</v>
      </c>
      <c r="F44">
        <v>10</v>
      </c>
      <c r="G44" t="s">
        <v>76</v>
      </c>
    </row>
    <row r="45" spans="1:7" x14ac:dyDescent="0.3">
      <c r="A45" s="2">
        <v>45560</v>
      </c>
      <c r="B45" s="4">
        <v>0.35208333333333336</v>
      </c>
      <c r="C45" t="s">
        <v>12</v>
      </c>
      <c r="D45" t="s">
        <v>10</v>
      </c>
      <c r="E45" t="s">
        <v>16</v>
      </c>
      <c r="F45">
        <v>10</v>
      </c>
      <c r="G45" t="s">
        <v>64</v>
      </c>
    </row>
    <row r="46" spans="1:7" x14ac:dyDescent="0.3">
      <c r="A46" s="2">
        <v>45563</v>
      </c>
      <c r="B46" s="4">
        <v>0.57777777777777772</v>
      </c>
      <c r="C46" t="s">
        <v>12</v>
      </c>
      <c r="D46" t="s">
        <v>10</v>
      </c>
      <c r="E46" t="s">
        <v>42</v>
      </c>
      <c r="F46">
        <v>20</v>
      </c>
      <c r="G46" t="s">
        <v>33</v>
      </c>
    </row>
    <row r="47" spans="1:7" x14ac:dyDescent="0.3">
      <c r="A47" s="2">
        <v>45564</v>
      </c>
      <c r="B47" s="4">
        <v>0.53749999999999998</v>
      </c>
      <c r="C47" t="s">
        <v>7</v>
      </c>
      <c r="D47" t="s">
        <v>10</v>
      </c>
      <c r="E47" t="s">
        <v>9</v>
      </c>
      <c r="F47">
        <v>500</v>
      </c>
    </row>
    <row r="48" spans="1:7" x14ac:dyDescent="0.3">
      <c r="A48" s="2">
        <v>45564</v>
      </c>
      <c r="B48" s="4">
        <v>0.53819444444444442</v>
      </c>
      <c r="C48" t="s">
        <v>12</v>
      </c>
      <c r="D48" t="s">
        <v>10</v>
      </c>
      <c r="E48" t="s">
        <v>37</v>
      </c>
      <c r="F48">
        <v>500</v>
      </c>
      <c r="G48" t="s">
        <v>77</v>
      </c>
    </row>
    <row r="49" spans="1:7" x14ac:dyDescent="0.3">
      <c r="A49" s="2">
        <v>45564</v>
      </c>
      <c r="B49" s="4">
        <v>0.74722222222222223</v>
      </c>
      <c r="C49" t="s">
        <v>12</v>
      </c>
      <c r="D49" t="s">
        <v>10</v>
      </c>
      <c r="E49" t="s">
        <v>50</v>
      </c>
      <c r="F49">
        <v>50</v>
      </c>
    </row>
    <row r="50" spans="1:7" x14ac:dyDescent="0.3">
      <c r="A50" s="2">
        <v>45564</v>
      </c>
      <c r="B50" s="4">
        <v>0.95625000000000004</v>
      </c>
      <c r="C50" t="s">
        <v>12</v>
      </c>
      <c r="D50" t="s">
        <v>10</v>
      </c>
      <c r="E50" t="s">
        <v>28</v>
      </c>
      <c r="F50">
        <v>30</v>
      </c>
    </row>
    <row r="51" spans="1:7" x14ac:dyDescent="0.3">
      <c r="A51" s="2">
        <v>45564</v>
      </c>
      <c r="B51" s="4">
        <v>0.95625000000000004</v>
      </c>
      <c r="C51" t="s">
        <v>7</v>
      </c>
      <c r="D51" t="s">
        <v>8</v>
      </c>
      <c r="E51" t="s">
        <v>28</v>
      </c>
      <c r="F51">
        <v>30</v>
      </c>
    </row>
    <row r="52" spans="1:7" x14ac:dyDescent="0.3">
      <c r="A52" s="2">
        <v>45564</v>
      </c>
      <c r="B52" s="4">
        <v>0.95972222222222225</v>
      </c>
      <c r="C52" t="s">
        <v>7</v>
      </c>
      <c r="D52" t="s">
        <v>8</v>
      </c>
      <c r="E52" t="s">
        <v>9</v>
      </c>
      <c r="F52">
        <v>20</v>
      </c>
    </row>
    <row r="53" spans="1:7" x14ac:dyDescent="0.3">
      <c r="A53" s="2">
        <v>45565</v>
      </c>
      <c r="B53" s="4">
        <v>0.7319444444444444</v>
      </c>
      <c r="C53" t="s">
        <v>12</v>
      </c>
      <c r="D53" t="s">
        <v>10</v>
      </c>
      <c r="E53" t="s">
        <v>16</v>
      </c>
      <c r="F53">
        <v>30</v>
      </c>
      <c r="G53" t="s">
        <v>78</v>
      </c>
    </row>
    <row r="54" spans="1:7" x14ac:dyDescent="0.3">
      <c r="A54" s="2">
        <v>45567</v>
      </c>
      <c r="B54" s="4">
        <v>0.76527777777777772</v>
      </c>
      <c r="C54" t="s">
        <v>12</v>
      </c>
      <c r="D54" t="s">
        <v>10</v>
      </c>
      <c r="E54" t="s">
        <v>16</v>
      </c>
      <c r="F54">
        <v>80</v>
      </c>
      <c r="G54" t="s">
        <v>79</v>
      </c>
    </row>
    <row r="55" spans="1:7" x14ac:dyDescent="0.3">
      <c r="A55" s="2">
        <v>45568</v>
      </c>
      <c r="B55" s="4">
        <v>0.5805555555555556</v>
      </c>
      <c r="C55" t="s">
        <v>12</v>
      </c>
      <c r="D55" t="s">
        <v>10</v>
      </c>
      <c r="E55" t="s">
        <v>70</v>
      </c>
      <c r="F55">
        <v>30</v>
      </c>
    </row>
    <row r="56" spans="1:7" x14ac:dyDescent="0.3">
      <c r="A56" s="2">
        <v>45569</v>
      </c>
      <c r="B56" s="4">
        <v>0.56736111111111109</v>
      </c>
      <c r="C56" t="s">
        <v>12</v>
      </c>
      <c r="D56" t="s">
        <v>10</v>
      </c>
      <c r="E56" t="s">
        <v>28</v>
      </c>
      <c r="F56">
        <v>30</v>
      </c>
    </row>
    <row r="57" spans="1:7" x14ac:dyDescent="0.3">
      <c r="A57" s="2">
        <v>45569</v>
      </c>
      <c r="B57" s="4">
        <v>0.56736111111111109</v>
      </c>
      <c r="C57" t="s">
        <v>7</v>
      </c>
      <c r="D57" t="s">
        <v>8</v>
      </c>
      <c r="E57" t="s">
        <v>28</v>
      </c>
      <c r="F57">
        <v>30</v>
      </c>
    </row>
    <row r="58" spans="1:7" x14ac:dyDescent="0.3">
      <c r="A58" s="2">
        <v>45570</v>
      </c>
      <c r="B58" s="4">
        <v>0.65625</v>
      </c>
      <c r="C58" t="s">
        <v>7</v>
      </c>
      <c r="D58" t="s">
        <v>10</v>
      </c>
      <c r="E58" t="s">
        <v>9</v>
      </c>
      <c r="F58">
        <v>500</v>
      </c>
    </row>
    <row r="59" spans="1:7" x14ac:dyDescent="0.3">
      <c r="A59" s="2">
        <v>45570</v>
      </c>
      <c r="B59" s="4">
        <v>0.67013888888888884</v>
      </c>
      <c r="C59" t="s">
        <v>12</v>
      </c>
      <c r="D59" t="s">
        <v>10</v>
      </c>
      <c r="E59" t="s">
        <v>16</v>
      </c>
      <c r="F59">
        <v>20</v>
      </c>
      <c r="G59" t="s">
        <v>64</v>
      </c>
    </row>
    <row r="60" spans="1:7" x14ac:dyDescent="0.3">
      <c r="A60" s="2">
        <v>45572</v>
      </c>
      <c r="B60" s="4">
        <v>0.65902777777777777</v>
      </c>
      <c r="C60" t="s">
        <v>12</v>
      </c>
      <c r="D60" t="s">
        <v>10</v>
      </c>
      <c r="E60" t="s">
        <v>16</v>
      </c>
      <c r="F60">
        <v>20</v>
      </c>
      <c r="G60" t="s">
        <v>64</v>
      </c>
    </row>
    <row r="61" spans="1:7" x14ac:dyDescent="0.3">
      <c r="A61" s="2">
        <v>45573</v>
      </c>
      <c r="B61" s="4">
        <v>0.33750000000000002</v>
      </c>
      <c r="C61" t="s">
        <v>12</v>
      </c>
      <c r="D61" t="s">
        <v>10</v>
      </c>
      <c r="E61" t="s">
        <v>28</v>
      </c>
      <c r="F61">
        <v>240</v>
      </c>
    </row>
    <row r="62" spans="1:7" x14ac:dyDescent="0.3">
      <c r="A62" s="2">
        <v>45573</v>
      </c>
      <c r="B62" s="4">
        <v>0.33750000000000002</v>
      </c>
      <c r="C62" t="s">
        <v>7</v>
      </c>
      <c r="D62" t="s">
        <v>8</v>
      </c>
      <c r="E62" t="s">
        <v>28</v>
      </c>
      <c r="F62">
        <v>240</v>
      </c>
    </row>
    <row r="63" spans="1:7" x14ac:dyDescent="0.3">
      <c r="A63" s="2">
        <v>45574</v>
      </c>
      <c r="B63" s="4">
        <v>0.56041666666666667</v>
      </c>
      <c r="C63" t="s">
        <v>12</v>
      </c>
      <c r="D63" t="s">
        <v>10</v>
      </c>
      <c r="E63" t="s">
        <v>16</v>
      </c>
      <c r="F63">
        <v>20</v>
      </c>
      <c r="G63" t="s">
        <v>76</v>
      </c>
    </row>
    <row r="64" spans="1:7" x14ac:dyDescent="0.3">
      <c r="A64" s="2">
        <v>45574</v>
      </c>
      <c r="B64" s="4">
        <v>0.73750000000000004</v>
      </c>
      <c r="C64" t="s">
        <v>12</v>
      </c>
      <c r="D64" t="s">
        <v>10</v>
      </c>
      <c r="E64" t="s">
        <v>18</v>
      </c>
      <c r="F64">
        <v>10</v>
      </c>
      <c r="G64" t="s">
        <v>67</v>
      </c>
    </row>
    <row r="65" spans="1:7" x14ac:dyDescent="0.3">
      <c r="A65" s="2">
        <v>45575</v>
      </c>
      <c r="B65" s="4">
        <v>0.31111111111111112</v>
      </c>
      <c r="C65" t="s">
        <v>7</v>
      </c>
      <c r="D65" t="s">
        <v>10</v>
      </c>
      <c r="E65" t="s">
        <v>9</v>
      </c>
      <c r="F65">
        <v>500</v>
      </c>
      <c r="G65" t="s">
        <v>80</v>
      </c>
    </row>
    <row r="66" spans="1:7" x14ac:dyDescent="0.3">
      <c r="A66" s="2">
        <v>45575</v>
      </c>
      <c r="B66" s="4">
        <v>0.3298611111111111</v>
      </c>
      <c r="C66" t="s">
        <v>12</v>
      </c>
      <c r="D66" t="s">
        <v>10</v>
      </c>
      <c r="E66" t="s">
        <v>18</v>
      </c>
      <c r="F66">
        <v>90</v>
      </c>
      <c r="G66" t="s">
        <v>25</v>
      </c>
    </row>
    <row r="67" spans="1:7" x14ac:dyDescent="0.3">
      <c r="A67" s="2">
        <v>45577</v>
      </c>
      <c r="B67" s="4">
        <v>0.4597222222222222</v>
      </c>
      <c r="C67" t="s">
        <v>12</v>
      </c>
      <c r="D67" t="s">
        <v>10</v>
      </c>
      <c r="E67" t="s">
        <v>9</v>
      </c>
      <c r="F67">
        <v>500</v>
      </c>
    </row>
    <row r="68" spans="1:7" x14ac:dyDescent="0.3">
      <c r="A68" s="2">
        <v>45578</v>
      </c>
      <c r="B68" s="4">
        <v>0.91874999999999996</v>
      </c>
      <c r="C68" t="s">
        <v>7</v>
      </c>
      <c r="D68" t="s">
        <v>10</v>
      </c>
      <c r="E68" t="s">
        <v>9</v>
      </c>
      <c r="F68">
        <v>530</v>
      </c>
    </row>
    <row r="69" spans="1:7" x14ac:dyDescent="0.3">
      <c r="A69" s="2">
        <v>45578</v>
      </c>
      <c r="B69" s="4">
        <v>0.94166666666666665</v>
      </c>
      <c r="C69" t="s">
        <v>7</v>
      </c>
      <c r="D69" t="s">
        <v>10</v>
      </c>
      <c r="E69" t="s">
        <v>9</v>
      </c>
      <c r="F69">
        <v>200</v>
      </c>
    </row>
    <row r="70" spans="1:7" x14ac:dyDescent="0.3">
      <c r="A70" s="2">
        <v>45579</v>
      </c>
      <c r="B70" s="4">
        <v>0.25277777777777777</v>
      </c>
      <c r="C70" t="s">
        <v>12</v>
      </c>
      <c r="D70" t="s">
        <v>10</v>
      </c>
      <c r="E70" t="s">
        <v>18</v>
      </c>
      <c r="F70">
        <v>80</v>
      </c>
      <c r="G70" t="s">
        <v>26</v>
      </c>
    </row>
    <row r="71" spans="1:7" x14ac:dyDescent="0.3">
      <c r="A71" s="2">
        <v>45579</v>
      </c>
      <c r="B71" s="4">
        <v>0.25416666666666665</v>
      </c>
      <c r="C71" t="s">
        <v>12</v>
      </c>
      <c r="D71" t="s">
        <v>10</v>
      </c>
      <c r="E71" t="s">
        <v>28</v>
      </c>
      <c r="F71">
        <v>400</v>
      </c>
    </row>
    <row r="72" spans="1:7" x14ac:dyDescent="0.3">
      <c r="A72" s="2">
        <v>45579</v>
      </c>
      <c r="B72" s="4">
        <v>0.25416666666666665</v>
      </c>
      <c r="C72" t="s">
        <v>7</v>
      </c>
      <c r="D72" t="s">
        <v>8</v>
      </c>
      <c r="E72" t="s">
        <v>28</v>
      </c>
      <c r="F72">
        <v>400</v>
      </c>
    </row>
    <row r="73" spans="1:7" x14ac:dyDescent="0.3">
      <c r="A73" s="2">
        <v>45581</v>
      </c>
      <c r="B73" s="4">
        <v>0.33750000000000002</v>
      </c>
      <c r="C73" t="s">
        <v>12</v>
      </c>
      <c r="D73" t="s">
        <v>10</v>
      </c>
      <c r="E73" t="s">
        <v>65</v>
      </c>
      <c r="F73">
        <v>200</v>
      </c>
    </row>
    <row r="74" spans="1:7" x14ac:dyDescent="0.3">
      <c r="A74" s="2">
        <v>45583</v>
      </c>
      <c r="B74" s="4">
        <v>0.46458333333333335</v>
      </c>
      <c r="C74" t="s">
        <v>12</v>
      </c>
      <c r="D74" t="s">
        <v>8</v>
      </c>
      <c r="E74" t="s">
        <v>16</v>
      </c>
      <c r="F74">
        <v>70</v>
      </c>
      <c r="G74" t="s">
        <v>33</v>
      </c>
    </row>
    <row r="75" spans="1:7" x14ac:dyDescent="0.3">
      <c r="A75" s="2">
        <v>45583</v>
      </c>
      <c r="B75" s="4">
        <v>0.75624999999999998</v>
      </c>
      <c r="C75" t="s">
        <v>12</v>
      </c>
      <c r="D75" t="s">
        <v>10</v>
      </c>
      <c r="E75" t="s">
        <v>18</v>
      </c>
      <c r="F75">
        <v>40</v>
      </c>
      <c r="G75" t="s">
        <v>67</v>
      </c>
    </row>
    <row r="76" spans="1:7" x14ac:dyDescent="0.3">
      <c r="A76" s="2">
        <v>45583</v>
      </c>
      <c r="B76" s="4">
        <v>0.79513888888888884</v>
      </c>
      <c r="C76" t="s">
        <v>12</v>
      </c>
      <c r="D76" t="s">
        <v>8</v>
      </c>
      <c r="E76" t="s">
        <v>18</v>
      </c>
      <c r="F76">
        <v>100</v>
      </c>
      <c r="G76" t="s">
        <v>25</v>
      </c>
    </row>
    <row r="77" spans="1:7" x14ac:dyDescent="0.3">
      <c r="A77" s="2">
        <v>45586</v>
      </c>
      <c r="B77" s="4">
        <v>0.25833333333333336</v>
      </c>
      <c r="C77" t="s">
        <v>7</v>
      </c>
      <c r="D77" t="s">
        <v>10</v>
      </c>
      <c r="E77" t="s">
        <v>9</v>
      </c>
      <c r="F77">
        <v>500</v>
      </c>
    </row>
    <row r="78" spans="1:7" x14ac:dyDescent="0.3">
      <c r="A78" s="2">
        <v>45586</v>
      </c>
      <c r="B78" s="4">
        <v>0.27013888888888887</v>
      </c>
      <c r="C78" t="s">
        <v>7</v>
      </c>
      <c r="D78" t="s">
        <v>8</v>
      </c>
      <c r="E78" t="s">
        <v>9</v>
      </c>
      <c r="F78">
        <v>1000</v>
      </c>
    </row>
    <row r="79" spans="1:7" x14ac:dyDescent="0.3">
      <c r="A79" s="2">
        <v>45586</v>
      </c>
      <c r="B79" s="4">
        <v>0.27291666666666664</v>
      </c>
      <c r="C79" t="s">
        <v>12</v>
      </c>
      <c r="D79" t="s">
        <v>10</v>
      </c>
      <c r="E79" t="s">
        <v>18</v>
      </c>
      <c r="F79">
        <v>10</v>
      </c>
      <c r="G79" t="s">
        <v>45</v>
      </c>
    </row>
    <row r="80" spans="1:7" x14ac:dyDescent="0.3">
      <c r="A80" s="2">
        <v>45586</v>
      </c>
      <c r="B80" s="4">
        <v>0.27291666666666664</v>
      </c>
      <c r="C80" t="s">
        <v>12</v>
      </c>
      <c r="D80" t="s">
        <v>8</v>
      </c>
      <c r="E80" t="s">
        <v>18</v>
      </c>
      <c r="F80">
        <v>20</v>
      </c>
      <c r="G80" t="s">
        <v>45</v>
      </c>
    </row>
    <row r="81" spans="1:7" x14ac:dyDescent="0.3">
      <c r="A81" s="2">
        <v>45586</v>
      </c>
      <c r="B81" s="4">
        <v>0.44444444444444442</v>
      </c>
      <c r="C81" t="s">
        <v>12</v>
      </c>
      <c r="D81" t="s">
        <v>8</v>
      </c>
      <c r="E81" t="s">
        <v>21</v>
      </c>
      <c r="F81">
        <v>50</v>
      </c>
    </row>
    <row r="82" spans="1:7" x14ac:dyDescent="0.3">
      <c r="A82" s="2">
        <v>45588</v>
      </c>
      <c r="B82" s="4">
        <v>0.8041666666666667</v>
      </c>
      <c r="C82" t="s">
        <v>12</v>
      </c>
      <c r="D82" t="s">
        <v>10</v>
      </c>
      <c r="E82" t="s">
        <v>16</v>
      </c>
      <c r="F82">
        <v>100</v>
      </c>
    </row>
    <row r="83" spans="1:7" x14ac:dyDescent="0.3">
      <c r="A83" s="2">
        <v>45591</v>
      </c>
      <c r="B83" s="4">
        <v>0.52847222222222223</v>
      </c>
      <c r="C83" t="s">
        <v>12</v>
      </c>
      <c r="D83" t="s">
        <v>10</v>
      </c>
      <c r="E83" t="s">
        <v>16</v>
      </c>
      <c r="F83">
        <v>60</v>
      </c>
      <c r="G83" t="s">
        <v>81</v>
      </c>
    </row>
    <row r="84" spans="1:7" x14ac:dyDescent="0.3">
      <c r="A84" s="2">
        <v>45594</v>
      </c>
      <c r="B84" s="4">
        <v>0.34791666666666665</v>
      </c>
      <c r="C84" t="s">
        <v>12</v>
      </c>
      <c r="D84" t="s">
        <v>10</v>
      </c>
      <c r="E84" t="s">
        <v>16</v>
      </c>
      <c r="F84">
        <v>10</v>
      </c>
      <c r="G84" t="s">
        <v>64</v>
      </c>
    </row>
    <row r="85" spans="1:7" x14ac:dyDescent="0.3">
      <c r="A85" s="2">
        <v>45594</v>
      </c>
      <c r="B85" s="4">
        <v>0.56736111111111109</v>
      </c>
      <c r="C85" t="s">
        <v>12</v>
      </c>
      <c r="D85" t="s">
        <v>10</v>
      </c>
      <c r="E85" t="s">
        <v>16</v>
      </c>
      <c r="F85">
        <v>50</v>
      </c>
    </row>
    <row r="86" spans="1:7" x14ac:dyDescent="0.3">
      <c r="A86" s="2">
        <v>45594</v>
      </c>
      <c r="B86" s="4">
        <v>0.77569444444444446</v>
      </c>
      <c r="C86" t="s">
        <v>12</v>
      </c>
      <c r="D86" t="s">
        <v>10</v>
      </c>
      <c r="E86" t="s">
        <v>18</v>
      </c>
      <c r="F86">
        <v>10</v>
      </c>
    </row>
    <row r="87" spans="1:7" x14ac:dyDescent="0.3">
      <c r="A87" s="2">
        <v>45600</v>
      </c>
      <c r="B87" s="4">
        <v>0.17569444444444443</v>
      </c>
      <c r="C87" t="s">
        <v>7</v>
      </c>
      <c r="D87" t="s">
        <v>10</v>
      </c>
      <c r="E87" t="s">
        <v>9</v>
      </c>
      <c r="F87">
        <v>500</v>
      </c>
    </row>
    <row r="88" spans="1:7" x14ac:dyDescent="0.3">
      <c r="A88" s="2">
        <v>45600</v>
      </c>
      <c r="B88" s="4">
        <v>0.17569444444444443</v>
      </c>
      <c r="C88" t="s">
        <v>7</v>
      </c>
      <c r="D88" t="s">
        <v>8</v>
      </c>
      <c r="E88" t="s">
        <v>9</v>
      </c>
      <c r="F88">
        <v>1000</v>
      </c>
    </row>
    <row r="89" spans="1:7" x14ac:dyDescent="0.3">
      <c r="A89" s="2">
        <v>45600</v>
      </c>
      <c r="B89" s="4">
        <v>0.21736111111111112</v>
      </c>
      <c r="C89" t="s">
        <v>12</v>
      </c>
      <c r="D89" t="s">
        <v>10</v>
      </c>
      <c r="E89" t="s">
        <v>18</v>
      </c>
      <c r="F89">
        <v>90</v>
      </c>
      <c r="G89" t="s">
        <v>26</v>
      </c>
    </row>
    <row r="90" spans="1:7" x14ac:dyDescent="0.3">
      <c r="A90" s="2">
        <v>45600</v>
      </c>
      <c r="B90" s="4">
        <v>0.31736111111111109</v>
      </c>
      <c r="C90" t="s">
        <v>12</v>
      </c>
      <c r="D90" t="s">
        <v>10</v>
      </c>
      <c r="E90" t="s">
        <v>18</v>
      </c>
      <c r="F90">
        <v>400</v>
      </c>
      <c r="G90" t="s">
        <v>19</v>
      </c>
    </row>
    <row r="91" spans="1:7" x14ac:dyDescent="0.3">
      <c r="A91" s="2">
        <v>45600</v>
      </c>
      <c r="B91" s="4">
        <v>0.43125000000000002</v>
      </c>
      <c r="C91" t="s">
        <v>12</v>
      </c>
      <c r="D91" t="s">
        <v>10</v>
      </c>
      <c r="E91" t="s">
        <v>28</v>
      </c>
      <c r="F91">
        <v>10</v>
      </c>
    </row>
    <row r="92" spans="1:7" x14ac:dyDescent="0.3">
      <c r="A92" s="2">
        <v>45600</v>
      </c>
      <c r="B92" s="4">
        <v>0.43125000000000002</v>
      </c>
      <c r="C92" t="s">
        <v>7</v>
      </c>
      <c r="D92" t="s">
        <v>8</v>
      </c>
      <c r="E92" t="s">
        <v>28</v>
      </c>
      <c r="F92">
        <v>10</v>
      </c>
    </row>
    <row r="93" spans="1:7" x14ac:dyDescent="0.3">
      <c r="A93" s="2">
        <v>45601</v>
      </c>
      <c r="B93" s="4">
        <v>0.48749999999999999</v>
      </c>
      <c r="C93" t="s">
        <v>12</v>
      </c>
      <c r="D93" t="s">
        <v>10</v>
      </c>
      <c r="E93" t="s">
        <v>82</v>
      </c>
      <c r="F93">
        <v>700</v>
      </c>
    </row>
    <row r="94" spans="1:7" x14ac:dyDescent="0.3">
      <c r="A94" s="2">
        <v>45601</v>
      </c>
      <c r="B94" s="4">
        <v>0.48749999999999999</v>
      </c>
      <c r="C94" t="s">
        <v>12</v>
      </c>
      <c r="D94" t="s">
        <v>8</v>
      </c>
      <c r="E94" t="s">
        <v>82</v>
      </c>
      <c r="F94">
        <v>20</v>
      </c>
    </row>
    <row r="95" spans="1:7" x14ac:dyDescent="0.3">
      <c r="A95" s="2">
        <v>45604</v>
      </c>
      <c r="B95" s="4">
        <v>0.41180555555555554</v>
      </c>
      <c r="C95" t="s">
        <v>12</v>
      </c>
      <c r="D95" t="s">
        <v>10</v>
      </c>
      <c r="E95" t="s">
        <v>18</v>
      </c>
      <c r="F95">
        <v>200</v>
      </c>
    </row>
    <row r="96" spans="1:7" x14ac:dyDescent="0.3">
      <c r="A96" s="2">
        <v>45607</v>
      </c>
      <c r="B96" s="4">
        <v>0.30833333333333335</v>
      </c>
      <c r="C96" t="s">
        <v>12</v>
      </c>
      <c r="D96" t="s">
        <v>10</v>
      </c>
      <c r="E96" t="s">
        <v>18</v>
      </c>
      <c r="F96">
        <v>30</v>
      </c>
      <c r="G96" t="s">
        <v>45</v>
      </c>
    </row>
    <row r="97" spans="1:7" x14ac:dyDescent="0.3">
      <c r="A97" s="2">
        <v>45607</v>
      </c>
      <c r="B97" s="4">
        <v>0.31597222222222221</v>
      </c>
      <c r="C97" t="s">
        <v>7</v>
      </c>
      <c r="D97" t="s">
        <v>10</v>
      </c>
      <c r="E97" t="s">
        <v>9</v>
      </c>
      <c r="F97">
        <v>500</v>
      </c>
    </row>
    <row r="98" spans="1:7" x14ac:dyDescent="0.3">
      <c r="A98" s="2">
        <v>45607</v>
      </c>
      <c r="B98" s="4">
        <v>0.31597222222222221</v>
      </c>
      <c r="C98" t="s">
        <v>7</v>
      </c>
      <c r="D98" t="s">
        <v>8</v>
      </c>
      <c r="E98" t="s">
        <v>9</v>
      </c>
      <c r="F98">
        <v>2000</v>
      </c>
      <c r="G98" t="s">
        <v>83</v>
      </c>
    </row>
    <row r="99" spans="1:7" x14ac:dyDescent="0.3">
      <c r="A99" s="2">
        <v>45607</v>
      </c>
      <c r="B99" s="4">
        <v>0.31736111111111109</v>
      </c>
      <c r="C99" t="s">
        <v>12</v>
      </c>
      <c r="D99" t="s">
        <v>8</v>
      </c>
      <c r="E99" t="s">
        <v>48</v>
      </c>
      <c r="F99">
        <v>300</v>
      </c>
      <c r="G99" t="s">
        <v>34</v>
      </c>
    </row>
    <row r="100" spans="1:7" x14ac:dyDescent="0.3">
      <c r="A100" s="2">
        <v>45608</v>
      </c>
      <c r="B100" s="4">
        <v>0.48541666666666666</v>
      </c>
      <c r="C100" t="s">
        <v>12</v>
      </c>
      <c r="D100" t="s">
        <v>10</v>
      </c>
      <c r="E100" t="s">
        <v>70</v>
      </c>
      <c r="F100">
        <v>80</v>
      </c>
    </row>
    <row r="101" spans="1:7" x14ac:dyDescent="0.3">
      <c r="A101" s="2">
        <v>45609</v>
      </c>
      <c r="B101" s="4">
        <v>0.83680555555555558</v>
      </c>
      <c r="C101" t="s">
        <v>12</v>
      </c>
      <c r="D101" t="s">
        <v>10</v>
      </c>
      <c r="E101" t="s">
        <v>16</v>
      </c>
      <c r="F101">
        <v>100</v>
      </c>
    </row>
    <row r="102" spans="1:7" x14ac:dyDescent="0.3">
      <c r="A102" s="2">
        <v>45611</v>
      </c>
      <c r="B102" s="4">
        <v>0.60277777777777775</v>
      </c>
      <c r="C102" t="s">
        <v>12</v>
      </c>
      <c r="D102" t="s">
        <v>10</v>
      </c>
      <c r="E102" t="s">
        <v>16</v>
      </c>
      <c r="F102">
        <v>50</v>
      </c>
    </row>
    <row r="103" spans="1:7" x14ac:dyDescent="0.3">
      <c r="A103" s="2">
        <v>45616</v>
      </c>
      <c r="B103" s="4">
        <v>0.49722222222222223</v>
      </c>
      <c r="C103" t="s">
        <v>12</v>
      </c>
      <c r="D103" t="s">
        <v>8</v>
      </c>
      <c r="E103" t="s">
        <v>84</v>
      </c>
      <c r="F103">
        <v>1600</v>
      </c>
      <c r="G103" t="s">
        <v>85</v>
      </c>
    </row>
    <row r="104" spans="1:7" x14ac:dyDescent="0.3">
      <c r="A104" s="2">
        <v>45618</v>
      </c>
      <c r="B104" s="4">
        <v>0.64861111111111114</v>
      </c>
      <c r="C104" t="s">
        <v>12</v>
      </c>
      <c r="D104" t="s">
        <v>10</v>
      </c>
      <c r="E104" t="s">
        <v>18</v>
      </c>
      <c r="F104">
        <v>20</v>
      </c>
    </row>
    <row r="105" spans="1:7" x14ac:dyDescent="0.3">
      <c r="A105" s="2">
        <v>45622</v>
      </c>
      <c r="B105" s="4">
        <v>0.79374999999999996</v>
      </c>
      <c r="C105" t="s">
        <v>12</v>
      </c>
      <c r="D105" t="s">
        <v>10</v>
      </c>
      <c r="E105" t="s">
        <v>16</v>
      </c>
      <c r="F105">
        <v>200</v>
      </c>
    </row>
    <row r="106" spans="1:7" x14ac:dyDescent="0.3">
      <c r="A106" s="2">
        <v>45624</v>
      </c>
      <c r="B106" s="4">
        <v>0.74236111111111114</v>
      </c>
      <c r="C106" t="s">
        <v>7</v>
      </c>
      <c r="D106" t="s">
        <v>10</v>
      </c>
      <c r="E106" t="s">
        <v>9</v>
      </c>
      <c r="F106">
        <v>500</v>
      </c>
    </row>
    <row r="107" spans="1:7" x14ac:dyDescent="0.3">
      <c r="A107" s="2">
        <v>45627</v>
      </c>
      <c r="B107" s="4">
        <v>0.61805555555555558</v>
      </c>
      <c r="C107" t="s">
        <v>12</v>
      </c>
      <c r="D107" t="s">
        <v>10</v>
      </c>
      <c r="E107" t="s">
        <v>16</v>
      </c>
      <c r="F107">
        <v>300</v>
      </c>
    </row>
    <row r="108" spans="1:7" x14ac:dyDescent="0.3">
      <c r="A108" s="2">
        <v>45629</v>
      </c>
      <c r="B108" s="4">
        <v>0.5805555555555556</v>
      </c>
      <c r="C108" t="s">
        <v>7</v>
      </c>
      <c r="D108" t="s">
        <v>10</v>
      </c>
      <c r="E108" t="s">
        <v>9</v>
      </c>
      <c r="F108">
        <v>200</v>
      </c>
    </row>
    <row r="109" spans="1:7" x14ac:dyDescent="0.3">
      <c r="A109" s="2">
        <v>45635</v>
      </c>
      <c r="B109" s="4">
        <v>0.16805555555555557</v>
      </c>
      <c r="C109" t="s">
        <v>7</v>
      </c>
      <c r="D109" t="s">
        <v>10</v>
      </c>
      <c r="E109" t="s">
        <v>9</v>
      </c>
      <c r="F109">
        <v>1100</v>
      </c>
    </row>
    <row r="110" spans="1:7" x14ac:dyDescent="0.3">
      <c r="A110" s="2">
        <v>45635</v>
      </c>
      <c r="B110" s="4">
        <v>0.18194444444444444</v>
      </c>
      <c r="C110" t="s">
        <v>12</v>
      </c>
      <c r="D110" t="s">
        <v>10</v>
      </c>
      <c r="E110" t="s">
        <v>28</v>
      </c>
      <c r="F110">
        <v>1000</v>
      </c>
    </row>
    <row r="111" spans="1:7" x14ac:dyDescent="0.3">
      <c r="A111" s="2">
        <v>45635</v>
      </c>
      <c r="B111" s="4">
        <v>0.18194444444444444</v>
      </c>
      <c r="C111" t="s">
        <v>7</v>
      </c>
      <c r="D111" t="s">
        <v>8</v>
      </c>
      <c r="E111" t="s">
        <v>28</v>
      </c>
      <c r="F111">
        <v>1000</v>
      </c>
    </row>
    <row r="112" spans="1:7" x14ac:dyDescent="0.3">
      <c r="A112" s="2">
        <v>45635</v>
      </c>
      <c r="B112" s="4">
        <v>0.19722222222222222</v>
      </c>
      <c r="C112" t="s">
        <v>12</v>
      </c>
      <c r="D112" t="s">
        <v>10</v>
      </c>
      <c r="E112" t="s">
        <v>18</v>
      </c>
      <c r="F112">
        <v>100</v>
      </c>
      <c r="G112" t="s">
        <v>86</v>
      </c>
    </row>
    <row r="113" spans="1:7" x14ac:dyDescent="0.3">
      <c r="A113" s="2">
        <v>45636</v>
      </c>
      <c r="B113" s="4">
        <v>0.55625000000000002</v>
      </c>
      <c r="C113" t="s">
        <v>12</v>
      </c>
      <c r="D113" t="s">
        <v>10</v>
      </c>
      <c r="E113" t="s">
        <v>16</v>
      </c>
      <c r="F113">
        <v>180</v>
      </c>
    </row>
    <row r="114" spans="1:7" x14ac:dyDescent="0.3">
      <c r="A114" s="2">
        <v>45641</v>
      </c>
      <c r="B114" s="4">
        <v>0.68472222222222223</v>
      </c>
      <c r="C114" t="s">
        <v>12</v>
      </c>
      <c r="D114" t="s">
        <v>10</v>
      </c>
      <c r="E114" t="s">
        <v>18</v>
      </c>
      <c r="F114">
        <v>40</v>
      </c>
    </row>
    <row r="115" spans="1:7" x14ac:dyDescent="0.3">
      <c r="A115" s="2">
        <v>45641</v>
      </c>
      <c r="B115" s="4">
        <v>0.70486111111111116</v>
      </c>
      <c r="C115" t="s">
        <v>12</v>
      </c>
      <c r="D115" t="s">
        <v>10</v>
      </c>
      <c r="E115" t="s">
        <v>18</v>
      </c>
      <c r="F115">
        <v>200</v>
      </c>
    </row>
    <row r="116" spans="1:7" x14ac:dyDescent="0.3">
      <c r="A116" s="2">
        <v>45642</v>
      </c>
      <c r="B116" s="4">
        <v>0.70486111111111116</v>
      </c>
      <c r="C116" t="s">
        <v>12</v>
      </c>
      <c r="D116" t="s">
        <v>10</v>
      </c>
      <c r="E116" t="s">
        <v>16</v>
      </c>
      <c r="F116">
        <v>10</v>
      </c>
      <c r="G116" t="s">
        <v>64</v>
      </c>
    </row>
    <row r="117" spans="1:7" x14ac:dyDescent="0.3">
      <c r="A117" s="2">
        <v>45642</v>
      </c>
      <c r="B117" s="4">
        <v>0.44791666666666669</v>
      </c>
      <c r="C117" t="s">
        <v>12</v>
      </c>
      <c r="D117" t="s">
        <v>10</v>
      </c>
      <c r="E117" t="s">
        <v>87</v>
      </c>
      <c r="F117">
        <v>50</v>
      </c>
      <c r="G117" t="s">
        <v>88</v>
      </c>
    </row>
    <row r="118" spans="1:7" x14ac:dyDescent="0.3">
      <c r="A118" s="2">
        <v>45642</v>
      </c>
      <c r="B118" s="4">
        <v>0.44791666666666669</v>
      </c>
      <c r="C118" t="s">
        <v>12</v>
      </c>
      <c r="D118" t="s">
        <v>8</v>
      </c>
      <c r="E118" t="s">
        <v>87</v>
      </c>
      <c r="F118">
        <v>200</v>
      </c>
      <c r="G118" t="s">
        <v>88</v>
      </c>
    </row>
    <row r="119" spans="1:7" x14ac:dyDescent="0.3">
      <c r="A119" s="2">
        <v>45642</v>
      </c>
      <c r="B119" s="4">
        <v>0.61944444444444446</v>
      </c>
      <c r="C119" t="s">
        <v>7</v>
      </c>
      <c r="D119" t="s">
        <v>10</v>
      </c>
      <c r="E119" t="s">
        <v>9</v>
      </c>
      <c r="F119">
        <v>100</v>
      </c>
    </row>
    <row r="120" spans="1:7" x14ac:dyDescent="0.3">
      <c r="A120" s="2">
        <v>45642</v>
      </c>
      <c r="B120" s="4">
        <v>0.62013888888888891</v>
      </c>
      <c r="C120" t="s">
        <v>12</v>
      </c>
      <c r="D120" t="s">
        <v>10</v>
      </c>
      <c r="E120" t="s">
        <v>65</v>
      </c>
      <c r="F120">
        <v>100</v>
      </c>
    </row>
    <row r="121" spans="1:7" x14ac:dyDescent="0.3">
      <c r="A121" s="2">
        <v>45645</v>
      </c>
      <c r="B121" s="4">
        <v>0.70902777777777781</v>
      </c>
      <c r="C121" t="s">
        <v>12</v>
      </c>
      <c r="D121" t="s">
        <v>8</v>
      </c>
      <c r="E121" t="s">
        <v>28</v>
      </c>
      <c r="F121">
        <v>10</v>
      </c>
    </row>
    <row r="122" spans="1:7" x14ac:dyDescent="0.3">
      <c r="A122" s="2">
        <v>45645</v>
      </c>
      <c r="B122" s="4">
        <v>0.70902777777777781</v>
      </c>
      <c r="C122" t="s">
        <v>7</v>
      </c>
      <c r="D122" t="s">
        <v>10</v>
      </c>
      <c r="E122" t="s">
        <v>28</v>
      </c>
      <c r="F122">
        <v>10</v>
      </c>
    </row>
    <row r="123" spans="1:7" x14ac:dyDescent="0.3">
      <c r="A123" s="2">
        <v>45645</v>
      </c>
      <c r="B123" s="4">
        <v>0.72986111111111107</v>
      </c>
      <c r="C123" t="s">
        <v>12</v>
      </c>
      <c r="D123" t="s">
        <v>8</v>
      </c>
      <c r="E123" t="s">
        <v>18</v>
      </c>
      <c r="F123">
        <v>90</v>
      </c>
      <c r="G123" t="s">
        <v>25</v>
      </c>
    </row>
    <row r="124" spans="1:7" x14ac:dyDescent="0.3">
      <c r="A124" s="2">
        <v>45648</v>
      </c>
      <c r="B124" s="4">
        <v>0.89097222222222228</v>
      </c>
      <c r="C124" t="s">
        <v>7</v>
      </c>
      <c r="D124" t="s">
        <v>10</v>
      </c>
      <c r="E124" t="s">
        <v>9</v>
      </c>
      <c r="F124">
        <v>500</v>
      </c>
    </row>
    <row r="125" spans="1:7" x14ac:dyDescent="0.3">
      <c r="A125" s="2">
        <v>45649</v>
      </c>
      <c r="B125" s="4">
        <v>0.18263888888888888</v>
      </c>
      <c r="C125" t="s">
        <v>12</v>
      </c>
      <c r="D125" t="s">
        <v>10</v>
      </c>
      <c r="E125" t="s">
        <v>18</v>
      </c>
      <c r="F125">
        <v>90</v>
      </c>
      <c r="G125" t="s">
        <v>26</v>
      </c>
    </row>
    <row r="126" spans="1:7" x14ac:dyDescent="0.3">
      <c r="A126" s="2">
        <v>45650</v>
      </c>
      <c r="B126" s="4">
        <v>0.66041666666666665</v>
      </c>
      <c r="C126" t="s">
        <v>12</v>
      </c>
      <c r="D126" t="s">
        <v>10</v>
      </c>
      <c r="E126" t="s">
        <v>16</v>
      </c>
      <c r="F126">
        <v>10</v>
      </c>
      <c r="G126" t="s">
        <v>64</v>
      </c>
    </row>
    <row r="127" spans="1:7" x14ac:dyDescent="0.3">
      <c r="A127" s="2">
        <v>45654</v>
      </c>
      <c r="B127" s="4">
        <v>0.80972222222222223</v>
      </c>
      <c r="C127" t="s">
        <v>12</v>
      </c>
      <c r="D127" t="s">
        <v>10</v>
      </c>
      <c r="E127" t="s">
        <v>18</v>
      </c>
      <c r="F127">
        <v>100</v>
      </c>
      <c r="G127" t="s">
        <v>25</v>
      </c>
    </row>
    <row r="128" spans="1:7" x14ac:dyDescent="0.3">
      <c r="A128" s="2">
        <v>45655</v>
      </c>
      <c r="B128" s="4">
        <v>0.92569444444444449</v>
      </c>
      <c r="C128" t="s">
        <v>7</v>
      </c>
      <c r="D128" t="s">
        <v>10</v>
      </c>
      <c r="E128" t="s">
        <v>9</v>
      </c>
      <c r="F128">
        <v>400</v>
      </c>
    </row>
    <row r="129" spans="1:7" x14ac:dyDescent="0.3">
      <c r="A129" s="2">
        <v>45656</v>
      </c>
      <c r="B129" s="4">
        <v>0.17569444444444443</v>
      </c>
      <c r="C129" t="s">
        <v>12</v>
      </c>
      <c r="D129" t="s">
        <v>10</v>
      </c>
      <c r="E129" t="s">
        <v>18</v>
      </c>
      <c r="F129">
        <v>110</v>
      </c>
      <c r="G129" t="s">
        <v>26</v>
      </c>
    </row>
    <row r="130" spans="1:7" x14ac:dyDescent="0.3">
      <c r="A130" s="2">
        <v>45657</v>
      </c>
      <c r="B130" s="4">
        <v>0.3659722222222222</v>
      </c>
      <c r="C130" t="s">
        <v>12</v>
      </c>
      <c r="D130" t="s">
        <v>10</v>
      </c>
      <c r="E130" t="s">
        <v>16</v>
      </c>
      <c r="F130">
        <v>30</v>
      </c>
      <c r="G130" t="s">
        <v>89</v>
      </c>
    </row>
    <row r="131" spans="1:7" x14ac:dyDescent="0.3">
      <c r="A131" s="2">
        <v>45658</v>
      </c>
      <c r="B131" s="4">
        <v>0.83333333333333337</v>
      </c>
      <c r="C131" t="s">
        <v>12</v>
      </c>
      <c r="D131" t="s">
        <v>10</v>
      </c>
      <c r="E131" t="s">
        <v>16</v>
      </c>
      <c r="F131">
        <v>40</v>
      </c>
      <c r="G131" t="s">
        <v>68</v>
      </c>
    </row>
    <row r="132" spans="1:7" x14ac:dyDescent="0.3">
      <c r="A132" s="2">
        <v>45666</v>
      </c>
      <c r="B132" s="4">
        <v>0.33333333333333331</v>
      </c>
      <c r="C132" t="s">
        <v>12</v>
      </c>
      <c r="D132" t="s">
        <v>10</v>
      </c>
      <c r="E132" t="s">
        <v>16</v>
      </c>
      <c r="F132">
        <v>80</v>
      </c>
    </row>
    <row r="133" spans="1:7" x14ac:dyDescent="0.3">
      <c r="A133" s="2">
        <v>45666</v>
      </c>
      <c r="B133" s="4">
        <v>0.57430555555555551</v>
      </c>
      <c r="C133" t="s">
        <v>12</v>
      </c>
      <c r="D133" t="s">
        <v>10</v>
      </c>
      <c r="E133" t="s">
        <v>16</v>
      </c>
      <c r="F133">
        <v>20</v>
      </c>
      <c r="G133" t="s">
        <v>33</v>
      </c>
    </row>
    <row r="134" spans="1:7" x14ac:dyDescent="0.3">
      <c r="A134" s="2">
        <v>45667</v>
      </c>
      <c r="B134" s="4">
        <v>0.68472222222222223</v>
      </c>
      <c r="C134" t="s">
        <v>12</v>
      </c>
      <c r="D134" t="s">
        <v>10</v>
      </c>
      <c r="E134" t="s">
        <v>18</v>
      </c>
      <c r="F134">
        <v>100</v>
      </c>
      <c r="G134" t="s">
        <v>25</v>
      </c>
    </row>
    <row r="135" spans="1:7" x14ac:dyDescent="0.3">
      <c r="A135" s="2">
        <v>45668</v>
      </c>
      <c r="B135" s="4">
        <v>0.8569444444444444</v>
      </c>
      <c r="C135" t="s">
        <v>7</v>
      </c>
      <c r="D135" t="s">
        <v>10</v>
      </c>
      <c r="E135" t="s">
        <v>9</v>
      </c>
      <c r="F135">
        <v>1000</v>
      </c>
    </row>
    <row r="136" spans="1:7" x14ac:dyDescent="0.3">
      <c r="A136" s="2">
        <v>45669</v>
      </c>
      <c r="B136" s="4">
        <v>0.56527777777777777</v>
      </c>
      <c r="C136" t="s">
        <v>12</v>
      </c>
      <c r="D136" t="s">
        <v>10</v>
      </c>
      <c r="E136" t="s">
        <v>90</v>
      </c>
      <c r="F136">
        <v>1000</v>
      </c>
      <c r="G136" t="s">
        <v>91</v>
      </c>
    </row>
    <row r="137" spans="1:7" x14ac:dyDescent="0.3">
      <c r="A137" s="2">
        <v>45671</v>
      </c>
      <c r="B137" s="4">
        <v>0.59375</v>
      </c>
      <c r="C137" t="s">
        <v>7</v>
      </c>
      <c r="D137" t="s">
        <v>8</v>
      </c>
      <c r="E137" t="s">
        <v>9</v>
      </c>
      <c r="F137">
        <v>500</v>
      </c>
      <c r="G137" t="s">
        <v>92</v>
      </c>
    </row>
    <row r="138" spans="1:7" x14ac:dyDescent="0.3">
      <c r="A138" s="2">
        <v>45671</v>
      </c>
      <c r="B138" s="4">
        <v>0.77638888888888891</v>
      </c>
      <c r="C138" t="s">
        <v>12</v>
      </c>
      <c r="D138" t="s">
        <v>10</v>
      </c>
      <c r="E138" t="s">
        <v>28</v>
      </c>
      <c r="F138">
        <v>200</v>
      </c>
    </row>
    <row r="139" spans="1:7" x14ac:dyDescent="0.3">
      <c r="A139" s="2">
        <v>45671</v>
      </c>
      <c r="B139" s="4">
        <v>0.77638888888888891</v>
      </c>
      <c r="C139" t="s">
        <v>7</v>
      </c>
      <c r="D139" t="s">
        <v>8</v>
      </c>
      <c r="E139" t="s">
        <v>28</v>
      </c>
      <c r="F139">
        <v>200</v>
      </c>
    </row>
    <row r="140" spans="1:7" x14ac:dyDescent="0.3">
      <c r="A140" s="2">
        <v>45673</v>
      </c>
      <c r="B140" s="4">
        <v>0.59375</v>
      </c>
      <c r="C140" t="s">
        <v>7</v>
      </c>
      <c r="D140" t="s">
        <v>10</v>
      </c>
      <c r="E140" t="s">
        <v>9</v>
      </c>
      <c r="F140">
        <v>500</v>
      </c>
    </row>
    <row r="141" spans="1:7" x14ac:dyDescent="0.3">
      <c r="A141" s="2">
        <v>45673</v>
      </c>
      <c r="B141" s="4">
        <v>0.6020833333333333</v>
      </c>
      <c r="C141" t="s">
        <v>12</v>
      </c>
      <c r="D141" t="s">
        <v>10</v>
      </c>
      <c r="E141" t="s">
        <v>87</v>
      </c>
      <c r="F141">
        <v>500</v>
      </c>
    </row>
    <row r="142" spans="1:7" x14ac:dyDescent="0.3">
      <c r="A142" s="2">
        <v>45674</v>
      </c>
      <c r="B142" s="4">
        <v>0.89930555555555558</v>
      </c>
      <c r="C142" t="s">
        <v>7</v>
      </c>
      <c r="D142" t="s">
        <v>8</v>
      </c>
      <c r="E142" t="s">
        <v>9</v>
      </c>
      <c r="F142">
        <v>500</v>
      </c>
    </row>
    <row r="143" spans="1:7" x14ac:dyDescent="0.3">
      <c r="A143" s="2">
        <v>45676</v>
      </c>
      <c r="B143" s="4">
        <v>0.72986111111111107</v>
      </c>
      <c r="C143" t="s">
        <v>7</v>
      </c>
      <c r="D143" t="s">
        <v>10</v>
      </c>
      <c r="E143" t="s">
        <v>9</v>
      </c>
      <c r="F143">
        <v>2000</v>
      </c>
    </row>
    <row r="144" spans="1:7" x14ac:dyDescent="0.3">
      <c r="A144" s="2">
        <v>45676</v>
      </c>
      <c r="B144" s="4">
        <v>0.73055555555555551</v>
      </c>
      <c r="C144" t="s">
        <v>7</v>
      </c>
      <c r="D144" t="s">
        <v>8</v>
      </c>
      <c r="E144" t="s">
        <v>9</v>
      </c>
      <c r="F144">
        <v>500</v>
      </c>
      <c r="G144" t="s">
        <v>92</v>
      </c>
    </row>
    <row r="145" spans="1:7" x14ac:dyDescent="0.3">
      <c r="A145" s="2">
        <v>45677</v>
      </c>
      <c r="B145" s="4">
        <v>0.35902777777777778</v>
      </c>
      <c r="C145" t="s">
        <v>12</v>
      </c>
      <c r="D145" t="s">
        <v>10</v>
      </c>
      <c r="E145" t="s">
        <v>28</v>
      </c>
      <c r="F145">
        <v>1000</v>
      </c>
    </row>
    <row r="146" spans="1:7" x14ac:dyDescent="0.3">
      <c r="A146" s="2">
        <v>45677</v>
      </c>
      <c r="B146" s="4">
        <v>0.35902777777777778</v>
      </c>
      <c r="C146" t="s">
        <v>7</v>
      </c>
      <c r="D146" t="s">
        <v>8</v>
      </c>
      <c r="E146" t="s">
        <v>28</v>
      </c>
      <c r="F146">
        <v>1000</v>
      </c>
    </row>
    <row r="147" spans="1:7" x14ac:dyDescent="0.3">
      <c r="A147" s="2">
        <v>45678</v>
      </c>
      <c r="B147" s="4">
        <v>0.33958333333333335</v>
      </c>
      <c r="C147" t="s">
        <v>12</v>
      </c>
      <c r="D147" t="s">
        <v>10</v>
      </c>
      <c r="E147" t="s">
        <v>65</v>
      </c>
      <c r="F147">
        <v>150</v>
      </c>
    </row>
    <row r="148" spans="1:7" x14ac:dyDescent="0.3">
      <c r="A148" s="2">
        <v>45678</v>
      </c>
      <c r="B148" s="4">
        <v>0.35625000000000001</v>
      </c>
      <c r="C148" t="s">
        <v>12</v>
      </c>
      <c r="D148" t="s">
        <v>10</v>
      </c>
      <c r="E148" t="s">
        <v>16</v>
      </c>
      <c r="F148">
        <v>10</v>
      </c>
      <c r="G148" t="s">
        <v>64</v>
      </c>
    </row>
    <row r="149" spans="1:7" x14ac:dyDescent="0.3">
      <c r="A149" s="2">
        <v>45679</v>
      </c>
      <c r="B149" s="4">
        <v>0.79583333333333328</v>
      </c>
      <c r="C149" t="s">
        <v>12</v>
      </c>
      <c r="D149" t="s">
        <v>10</v>
      </c>
      <c r="E149" t="s">
        <v>16</v>
      </c>
      <c r="F149">
        <v>120</v>
      </c>
      <c r="G149" t="s">
        <v>47</v>
      </c>
    </row>
    <row r="150" spans="1:7" x14ac:dyDescent="0.3">
      <c r="A150" s="2">
        <v>45680</v>
      </c>
      <c r="B150" s="4">
        <v>0.65277777777777779</v>
      </c>
      <c r="C150" t="s">
        <v>12</v>
      </c>
      <c r="D150" t="s">
        <v>10</v>
      </c>
      <c r="E150" t="s">
        <v>70</v>
      </c>
      <c r="F150">
        <v>70</v>
      </c>
      <c r="G150" t="s">
        <v>71</v>
      </c>
    </row>
    <row r="151" spans="1:7" x14ac:dyDescent="0.3">
      <c r="A151" s="2">
        <v>45681</v>
      </c>
      <c r="B151" s="4">
        <v>0.57499999999999996</v>
      </c>
      <c r="C151" t="s">
        <v>12</v>
      </c>
      <c r="D151" t="s">
        <v>10</v>
      </c>
      <c r="E151" t="s">
        <v>16</v>
      </c>
      <c r="F151">
        <v>30</v>
      </c>
      <c r="G151" t="s">
        <v>93</v>
      </c>
    </row>
    <row r="152" spans="1:7" x14ac:dyDescent="0.3">
      <c r="A152" s="2">
        <v>45682</v>
      </c>
      <c r="B152" s="4">
        <v>0.53333333333333333</v>
      </c>
      <c r="C152" t="s">
        <v>12</v>
      </c>
      <c r="D152" t="s">
        <v>10</v>
      </c>
      <c r="E152" t="s">
        <v>16</v>
      </c>
      <c r="F152">
        <v>100</v>
      </c>
      <c r="G152" t="s">
        <v>94</v>
      </c>
    </row>
    <row r="153" spans="1:7" x14ac:dyDescent="0.3">
      <c r="A153" s="2">
        <v>45683</v>
      </c>
      <c r="B153" s="4">
        <v>0.47638888888888886</v>
      </c>
      <c r="C153" t="s">
        <v>12</v>
      </c>
      <c r="D153" t="s">
        <v>10</v>
      </c>
      <c r="E153" t="s">
        <v>18</v>
      </c>
      <c r="F153">
        <v>20</v>
      </c>
      <c r="G153" t="s">
        <v>20</v>
      </c>
    </row>
    <row r="154" spans="1:7" x14ac:dyDescent="0.3">
      <c r="A154" s="2">
        <v>45683</v>
      </c>
      <c r="B154" s="4">
        <v>0.48333333333333334</v>
      </c>
      <c r="C154" t="s">
        <v>12</v>
      </c>
      <c r="D154" t="s">
        <v>10</v>
      </c>
      <c r="E154" t="s">
        <v>16</v>
      </c>
      <c r="F154">
        <v>50</v>
      </c>
      <c r="G154" t="s">
        <v>95</v>
      </c>
    </row>
    <row r="155" spans="1:7" x14ac:dyDescent="0.3">
      <c r="A155" s="2">
        <v>45683</v>
      </c>
      <c r="B155" s="4">
        <v>0.60069444444444442</v>
      </c>
      <c r="C155" t="s">
        <v>12</v>
      </c>
      <c r="D155" t="s">
        <v>8</v>
      </c>
      <c r="E155" t="s">
        <v>84</v>
      </c>
      <c r="F155">
        <v>600</v>
      </c>
      <c r="G155" t="s">
        <v>96</v>
      </c>
    </row>
    <row r="156" spans="1:7" x14ac:dyDescent="0.3">
      <c r="A156" s="2">
        <v>45683</v>
      </c>
      <c r="B156" s="4">
        <v>0.60069444444444442</v>
      </c>
      <c r="C156" t="s">
        <v>12</v>
      </c>
      <c r="D156" t="s">
        <v>8</v>
      </c>
      <c r="E156" t="s">
        <v>48</v>
      </c>
      <c r="F156">
        <v>600</v>
      </c>
      <c r="G156" t="s">
        <v>49</v>
      </c>
    </row>
    <row r="157" spans="1:7" x14ac:dyDescent="0.3">
      <c r="A157" s="2">
        <v>45683</v>
      </c>
      <c r="B157" s="4">
        <v>0.63888888888888884</v>
      </c>
      <c r="C157" t="s">
        <v>12</v>
      </c>
      <c r="D157" t="s">
        <v>10</v>
      </c>
      <c r="E157" t="s">
        <v>16</v>
      </c>
      <c r="F157">
        <v>220</v>
      </c>
      <c r="G157" t="s">
        <v>97</v>
      </c>
    </row>
    <row r="158" spans="1:7" x14ac:dyDescent="0.3">
      <c r="A158" s="2">
        <v>45683</v>
      </c>
      <c r="B158" s="4">
        <v>0.65972222222222221</v>
      </c>
      <c r="C158" t="s">
        <v>12</v>
      </c>
      <c r="D158" t="s">
        <v>10</v>
      </c>
      <c r="E158" t="s">
        <v>16</v>
      </c>
      <c r="F158">
        <v>70</v>
      </c>
      <c r="G158" t="s">
        <v>98</v>
      </c>
    </row>
    <row r="159" spans="1:7" x14ac:dyDescent="0.3">
      <c r="A159" s="2">
        <v>45683</v>
      </c>
      <c r="B159" s="4">
        <v>0.68680555555555556</v>
      </c>
      <c r="C159" t="s">
        <v>12</v>
      </c>
      <c r="D159" t="s">
        <v>10</v>
      </c>
      <c r="E159" t="s">
        <v>18</v>
      </c>
      <c r="F159">
        <v>10</v>
      </c>
      <c r="G159" t="s">
        <v>20</v>
      </c>
    </row>
    <row r="160" spans="1:7" x14ac:dyDescent="0.3">
      <c r="A160" s="2">
        <v>45684</v>
      </c>
      <c r="B160" s="4">
        <v>0.33750000000000002</v>
      </c>
      <c r="C160" t="s">
        <v>12</v>
      </c>
      <c r="D160" t="s">
        <v>10</v>
      </c>
      <c r="E160" t="s">
        <v>99</v>
      </c>
      <c r="F160">
        <v>20</v>
      </c>
      <c r="G160" t="s">
        <v>100</v>
      </c>
    </row>
    <row r="161" spans="1:7" x14ac:dyDescent="0.3">
      <c r="A161" s="2">
        <v>45685</v>
      </c>
      <c r="B161" s="4">
        <v>0.35486111111111113</v>
      </c>
      <c r="C161" t="s">
        <v>12</v>
      </c>
      <c r="D161" t="s">
        <v>10</v>
      </c>
      <c r="E161" t="s">
        <v>16</v>
      </c>
      <c r="F161">
        <v>30</v>
      </c>
      <c r="G161" t="s">
        <v>101</v>
      </c>
    </row>
    <row r="162" spans="1:7" x14ac:dyDescent="0.3">
      <c r="A162" s="2">
        <v>45688</v>
      </c>
      <c r="B162" s="4">
        <v>0.62152777777777779</v>
      </c>
      <c r="C162" t="s">
        <v>12</v>
      </c>
      <c r="D162" t="s">
        <v>10</v>
      </c>
      <c r="E162" t="s">
        <v>18</v>
      </c>
      <c r="F162">
        <v>110</v>
      </c>
    </row>
    <row r="163" spans="1:7" x14ac:dyDescent="0.3">
      <c r="A163" s="2">
        <v>45689</v>
      </c>
      <c r="B163" s="4">
        <v>0.60069444444444442</v>
      </c>
      <c r="C163" t="s">
        <v>7</v>
      </c>
      <c r="D163" t="s">
        <v>10</v>
      </c>
      <c r="E163" t="s">
        <v>9</v>
      </c>
      <c r="F163">
        <v>500</v>
      </c>
    </row>
    <row r="164" spans="1:7" x14ac:dyDescent="0.3">
      <c r="A164" s="2">
        <v>45689</v>
      </c>
      <c r="B164" s="4">
        <v>0.60069444444444442</v>
      </c>
      <c r="C164" t="s">
        <v>7</v>
      </c>
      <c r="D164" t="s">
        <v>8</v>
      </c>
      <c r="E164" t="s">
        <v>9</v>
      </c>
      <c r="F164">
        <v>800</v>
      </c>
    </row>
    <row r="165" spans="1:7" x14ac:dyDescent="0.3">
      <c r="A165" s="2">
        <v>45691</v>
      </c>
      <c r="B165" s="4">
        <v>0.25347222222222221</v>
      </c>
      <c r="C165" t="s">
        <v>7</v>
      </c>
      <c r="D165" t="s">
        <v>10</v>
      </c>
      <c r="E165" t="s">
        <v>9</v>
      </c>
      <c r="F165">
        <v>100</v>
      </c>
    </row>
    <row r="166" spans="1:7" x14ac:dyDescent="0.3">
      <c r="A166" s="2">
        <v>45691</v>
      </c>
      <c r="B166" s="4">
        <v>0.26805555555555555</v>
      </c>
      <c r="C166" t="s">
        <v>12</v>
      </c>
      <c r="D166" t="s">
        <v>10</v>
      </c>
      <c r="E166" t="s">
        <v>18</v>
      </c>
      <c r="F166">
        <v>90</v>
      </c>
      <c r="G166" t="s">
        <v>26</v>
      </c>
    </row>
    <row r="167" spans="1:7" x14ac:dyDescent="0.3">
      <c r="A167" s="2">
        <v>45691</v>
      </c>
      <c r="B167" s="4">
        <v>0.39305555555555555</v>
      </c>
      <c r="C167" t="s">
        <v>12</v>
      </c>
      <c r="D167" t="s">
        <v>10</v>
      </c>
      <c r="E167" t="s">
        <v>18</v>
      </c>
      <c r="F167">
        <v>20</v>
      </c>
      <c r="G167" t="s">
        <v>102</v>
      </c>
    </row>
    <row r="168" spans="1:7" x14ac:dyDescent="0.3">
      <c r="A168" s="2">
        <v>45691</v>
      </c>
      <c r="B168" s="4">
        <v>0.43958333333333333</v>
      </c>
      <c r="C168" t="s">
        <v>12</v>
      </c>
      <c r="D168" t="s">
        <v>10</v>
      </c>
      <c r="E168" t="s">
        <v>65</v>
      </c>
      <c r="F168">
        <v>100</v>
      </c>
    </row>
    <row r="169" spans="1:7" x14ac:dyDescent="0.3">
      <c r="A169" s="2">
        <v>45692</v>
      </c>
      <c r="B169" s="4">
        <v>0.91249999999999998</v>
      </c>
      <c r="C169" t="s">
        <v>12</v>
      </c>
      <c r="D169" t="s">
        <v>10</v>
      </c>
      <c r="E169" t="s">
        <v>16</v>
      </c>
      <c r="F169">
        <v>100</v>
      </c>
      <c r="G169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FB76-6A32-4554-893D-057AD6B717E9}">
  <dimension ref="A1:J79"/>
  <sheetViews>
    <sheetView topLeftCell="A59" workbookViewId="0">
      <selection activeCell="D18" sqref="D18"/>
    </sheetView>
  </sheetViews>
  <sheetFormatPr defaultRowHeight="14.4" x14ac:dyDescent="0.3"/>
  <cols>
    <col min="1" max="1" width="10.33203125" bestFit="1" customWidth="1"/>
    <col min="2" max="2" width="5.109375" bestFit="1" customWidth="1"/>
    <col min="3" max="3" width="11.109375" bestFit="1" customWidth="1"/>
    <col min="4" max="4" width="6.88671875" bestFit="1" customWidth="1"/>
    <col min="5" max="5" width="13.33203125" bestFit="1" customWidth="1"/>
    <col min="6" max="6" width="7.88671875" bestFit="1" customWidth="1"/>
    <col min="7" max="7" width="2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s="2">
        <v>45658</v>
      </c>
      <c r="C2" t="s">
        <v>7</v>
      </c>
      <c r="D2" t="s">
        <v>10</v>
      </c>
      <c r="E2" t="s">
        <v>9</v>
      </c>
      <c r="F2">
        <v>1407</v>
      </c>
    </row>
    <row r="3" spans="1:10" x14ac:dyDescent="0.3">
      <c r="A3" s="2">
        <v>45658</v>
      </c>
      <c r="C3" t="s">
        <v>7</v>
      </c>
      <c r="D3" t="s">
        <v>103</v>
      </c>
      <c r="E3" t="s">
        <v>9</v>
      </c>
      <c r="F3">
        <v>3857</v>
      </c>
      <c r="I3" t="s">
        <v>11</v>
      </c>
      <c r="J3">
        <f>SUMIFS(F2:F89,C2:C89,"="&amp;"Income",D2:D89,"="&amp;"Cash")-SUMIFS(F2:F89,C2:C89,"="&amp;"Expense",D2:D89,"="&amp;"Cash")</f>
        <v>776</v>
      </c>
    </row>
    <row r="4" spans="1:10" x14ac:dyDescent="0.3">
      <c r="A4" s="2">
        <v>45658</v>
      </c>
      <c r="C4" t="s">
        <v>7</v>
      </c>
      <c r="D4" t="s">
        <v>103</v>
      </c>
      <c r="E4" t="s">
        <v>9</v>
      </c>
      <c r="F4">
        <v>2500</v>
      </c>
      <c r="G4" t="s">
        <v>104</v>
      </c>
      <c r="I4" t="s">
        <v>105</v>
      </c>
      <c r="J4">
        <f>SUMIFS(F2:F89,C2:C89,"="&amp;"Income",D2:D89,"="&amp;"GPay")-SUMIFS(F2:F89,C2:C89,"="&amp;"Expense",D2:D89,"="&amp;"GPay")</f>
        <v>7340</v>
      </c>
    </row>
    <row r="5" spans="1:10" x14ac:dyDescent="0.3">
      <c r="A5" s="2">
        <v>45658</v>
      </c>
      <c r="C5" t="s">
        <v>12</v>
      </c>
      <c r="D5" t="s">
        <v>103</v>
      </c>
      <c r="E5" t="s">
        <v>18</v>
      </c>
      <c r="F5">
        <v>120</v>
      </c>
      <c r="G5" t="s">
        <v>19</v>
      </c>
    </row>
    <row r="6" spans="1:10" x14ac:dyDescent="0.3">
      <c r="A6" s="2">
        <v>45658</v>
      </c>
      <c r="C6" t="s">
        <v>12</v>
      </c>
      <c r="D6" t="s">
        <v>10</v>
      </c>
      <c r="E6" t="s">
        <v>18</v>
      </c>
      <c r="F6">
        <v>31</v>
      </c>
      <c r="G6" t="s">
        <v>20</v>
      </c>
    </row>
    <row r="7" spans="1:10" x14ac:dyDescent="0.3">
      <c r="A7" s="2">
        <v>45660</v>
      </c>
      <c r="C7" t="s">
        <v>12</v>
      </c>
      <c r="D7" t="s">
        <v>10</v>
      </c>
      <c r="E7" t="s">
        <v>16</v>
      </c>
      <c r="F7">
        <v>70</v>
      </c>
      <c r="G7" t="s">
        <v>106</v>
      </c>
    </row>
    <row r="8" spans="1:10" x14ac:dyDescent="0.3">
      <c r="A8" s="2">
        <v>45660</v>
      </c>
      <c r="C8" t="s">
        <v>12</v>
      </c>
      <c r="D8" t="s">
        <v>10</v>
      </c>
      <c r="E8" t="s">
        <v>107</v>
      </c>
      <c r="F8">
        <v>40</v>
      </c>
      <c r="G8" t="s">
        <v>108</v>
      </c>
    </row>
    <row r="9" spans="1:10" x14ac:dyDescent="0.3">
      <c r="A9" s="2">
        <v>45661</v>
      </c>
      <c r="C9" t="s">
        <v>12</v>
      </c>
      <c r="D9" t="s">
        <v>10</v>
      </c>
      <c r="E9" t="s">
        <v>16</v>
      </c>
      <c r="F9">
        <v>70</v>
      </c>
      <c r="G9" t="s">
        <v>106</v>
      </c>
    </row>
    <row r="10" spans="1:10" x14ac:dyDescent="0.3">
      <c r="A10" s="2">
        <v>45661</v>
      </c>
      <c r="C10" t="s">
        <v>12</v>
      </c>
      <c r="D10" t="s">
        <v>103</v>
      </c>
      <c r="E10" t="s">
        <v>16</v>
      </c>
      <c r="F10">
        <v>80</v>
      </c>
      <c r="G10" t="s">
        <v>38</v>
      </c>
    </row>
    <row r="11" spans="1:10" x14ac:dyDescent="0.3">
      <c r="A11" s="2">
        <v>45662</v>
      </c>
      <c r="C11" t="s">
        <v>12</v>
      </c>
      <c r="D11" t="s">
        <v>10</v>
      </c>
      <c r="E11" t="s">
        <v>18</v>
      </c>
      <c r="F11">
        <v>170</v>
      </c>
      <c r="G11" t="s">
        <v>20</v>
      </c>
    </row>
    <row r="12" spans="1:10" x14ac:dyDescent="0.3">
      <c r="A12" s="2">
        <v>45662</v>
      </c>
      <c r="C12" t="s">
        <v>12</v>
      </c>
      <c r="D12" t="s">
        <v>10</v>
      </c>
      <c r="E12" t="s">
        <v>18</v>
      </c>
      <c r="F12">
        <v>60</v>
      </c>
      <c r="G12" t="s">
        <v>19</v>
      </c>
    </row>
    <row r="13" spans="1:10" x14ac:dyDescent="0.3">
      <c r="A13" s="2">
        <v>45662</v>
      </c>
      <c r="C13" t="s">
        <v>7</v>
      </c>
      <c r="D13" t="s">
        <v>103</v>
      </c>
      <c r="E13" t="s">
        <v>9</v>
      </c>
      <c r="F13">
        <v>1000</v>
      </c>
    </row>
    <row r="14" spans="1:10" x14ac:dyDescent="0.3">
      <c r="A14" s="2">
        <v>45662</v>
      </c>
      <c r="C14" t="s">
        <v>12</v>
      </c>
      <c r="D14" t="s">
        <v>103</v>
      </c>
      <c r="E14" t="s">
        <v>18</v>
      </c>
      <c r="F14">
        <v>1013</v>
      </c>
      <c r="G14" t="s">
        <v>27</v>
      </c>
    </row>
    <row r="15" spans="1:10" x14ac:dyDescent="0.3">
      <c r="A15" s="2">
        <v>45664</v>
      </c>
      <c r="C15" t="s">
        <v>12</v>
      </c>
      <c r="D15" t="s">
        <v>10</v>
      </c>
      <c r="E15" t="s">
        <v>16</v>
      </c>
      <c r="F15">
        <v>155</v>
      </c>
    </row>
    <row r="16" spans="1:10" x14ac:dyDescent="0.3">
      <c r="A16" s="2">
        <v>45665</v>
      </c>
      <c r="C16" t="s">
        <v>12</v>
      </c>
      <c r="D16" t="s">
        <v>10</v>
      </c>
      <c r="E16" t="s">
        <v>16</v>
      </c>
      <c r="F16">
        <v>70</v>
      </c>
      <c r="G16" t="s">
        <v>106</v>
      </c>
    </row>
    <row r="17" spans="1:7" x14ac:dyDescent="0.3">
      <c r="A17" s="2">
        <v>45665</v>
      </c>
      <c r="C17" t="s">
        <v>12</v>
      </c>
      <c r="D17" t="s">
        <v>10</v>
      </c>
      <c r="E17" t="s">
        <v>107</v>
      </c>
      <c r="F17">
        <v>95</v>
      </c>
      <c r="G17" t="s">
        <v>38</v>
      </c>
    </row>
    <row r="18" spans="1:7" x14ac:dyDescent="0.3">
      <c r="A18" s="2">
        <v>45665</v>
      </c>
      <c r="C18" t="s">
        <v>12</v>
      </c>
      <c r="D18" t="s">
        <v>103</v>
      </c>
      <c r="E18" t="s">
        <v>16</v>
      </c>
      <c r="F18">
        <v>80</v>
      </c>
      <c r="G18" t="s">
        <v>109</v>
      </c>
    </row>
    <row r="19" spans="1:7" x14ac:dyDescent="0.3">
      <c r="A19" s="2">
        <v>45666</v>
      </c>
      <c r="C19" t="s">
        <v>12</v>
      </c>
      <c r="D19" t="s">
        <v>103</v>
      </c>
      <c r="E19" t="s">
        <v>16</v>
      </c>
      <c r="F19">
        <v>70</v>
      </c>
      <c r="G19" t="s">
        <v>106</v>
      </c>
    </row>
    <row r="20" spans="1:7" x14ac:dyDescent="0.3">
      <c r="A20" s="2">
        <v>45667</v>
      </c>
      <c r="C20" t="s">
        <v>12</v>
      </c>
      <c r="D20" t="s">
        <v>103</v>
      </c>
      <c r="E20" t="s">
        <v>18</v>
      </c>
      <c r="F20">
        <v>30</v>
      </c>
      <c r="G20" t="s">
        <v>27</v>
      </c>
    </row>
    <row r="21" spans="1:7" x14ac:dyDescent="0.3">
      <c r="A21" s="2">
        <v>45667</v>
      </c>
      <c r="C21" t="s">
        <v>12</v>
      </c>
      <c r="D21" t="s">
        <v>103</v>
      </c>
      <c r="E21" t="s">
        <v>16</v>
      </c>
      <c r="F21">
        <v>20</v>
      </c>
      <c r="G21" t="s">
        <v>110</v>
      </c>
    </row>
    <row r="22" spans="1:7" x14ac:dyDescent="0.3">
      <c r="A22" s="2">
        <v>45668</v>
      </c>
      <c r="C22" t="s">
        <v>12</v>
      </c>
      <c r="D22" t="s">
        <v>103</v>
      </c>
      <c r="E22" t="s">
        <v>16</v>
      </c>
      <c r="F22">
        <v>131</v>
      </c>
      <c r="G22" t="s">
        <v>106</v>
      </c>
    </row>
    <row r="23" spans="1:7" x14ac:dyDescent="0.3">
      <c r="A23" s="2">
        <v>45668</v>
      </c>
      <c r="C23" t="s">
        <v>7</v>
      </c>
      <c r="D23" t="s">
        <v>10</v>
      </c>
      <c r="E23" t="s">
        <v>9</v>
      </c>
      <c r="F23">
        <v>130</v>
      </c>
    </row>
    <row r="24" spans="1:7" x14ac:dyDescent="0.3">
      <c r="A24" s="2">
        <v>45669</v>
      </c>
      <c r="C24" t="s">
        <v>7</v>
      </c>
      <c r="D24" t="s">
        <v>10</v>
      </c>
      <c r="E24" t="s">
        <v>9</v>
      </c>
      <c r="F24">
        <v>643</v>
      </c>
    </row>
    <row r="25" spans="1:7" x14ac:dyDescent="0.3">
      <c r="A25" s="2">
        <v>45669</v>
      </c>
      <c r="C25" t="s">
        <v>12</v>
      </c>
      <c r="D25" t="s">
        <v>10</v>
      </c>
      <c r="E25" t="s">
        <v>111</v>
      </c>
      <c r="F25">
        <v>643</v>
      </c>
      <c r="G25" t="s">
        <v>112</v>
      </c>
    </row>
    <row r="26" spans="1:7" x14ac:dyDescent="0.3">
      <c r="A26" s="2">
        <v>45669</v>
      </c>
      <c r="C26" t="s">
        <v>7</v>
      </c>
      <c r="D26" t="s">
        <v>103</v>
      </c>
      <c r="E26" t="s">
        <v>9</v>
      </c>
      <c r="F26">
        <v>500</v>
      </c>
    </row>
    <row r="27" spans="1:7" x14ac:dyDescent="0.3">
      <c r="A27" s="2">
        <v>45673</v>
      </c>
      <c r="C27" t="s">
        <v>12</v>
      </c>
      <c r="D27" t="s">
        <v>103</v>
      </c>
      <c r="E27" t="s">
        <v>16</v>
      </c>
      <c r="F27">
        <v>525</v>
      </c>
      <c r="G27" t="s">
        <v>113</v>
      </c>
    </row>
    <row r="28" spans="1:7" x14ac:dyDescent="0.3">
      <c r="A28" s="2">
        <v>45677</v>
      </c>
      <c r="C28" t="s">
        <v>12</v>
      </c>
      <c r="D28" t="s">
        <v>103</v>
      </c>
      <c r="E28" t="s">
        <v>18</v>
      </c>
      <c r="F28">
        <v>52</v>
      </c>
      <c r="G28" t="s">
        <v>114</v>
      </c>
    </row>
    <row r="29" spans="1:7" x14ac:dyDescent="0.3">
      <c r="A29" s="2">
        <v>45677</v>
      </c>
      <c r="C29" t="s">
        <v>12</v>
      </c>
      <c r="D29" t="s">
        <v>103</v>
      </c>
      <c r="E29" t="s">
        <v>82</v>
      </c>
      <c r="F29">
        <v>101</v>
      </c>
      <c r="G29" t="s">
        <v>115</v>
      </c>
    </row>
    <row r="30" spans="1:7" x14ac:dyDescent="0.3">
      <c r="A30" s="2">
        <v>45678</v>
      </c>
      <c r="C30" t="s">
        <v>7</v>
      </c>
      <c r="D30" t="s">
        <v>103</v>
      </c>
      <c r="E30" t="s">
        <v>116</v>
      </c>
      <c r="F30">
        <v>714</v>
      </c>
    </row>
    <row r="31" spans="1:7" x14ac:dyDescent="0.3">
      <c r="A31" s="2">
        <v>45678</v>
      </c>
      <c r="C31" t="s">
        <v>7</v>
      </c>
      <c r="D31" t="s">
        <v>103</v>
      </c>
      <c r="E31" t="s">
        <v>9</v>
      </c>
      <c r="F31">
        <v>991</v>
      </c>
    </row>
    <row r="41" spans="1:1" x14ac:dyDescent="0.3">
      <c r="A41" s="2"/>
    </row>
    <row r="50" spans="1:1" x14ac:dyDescent="0.3">
      <c r="A50" s="2"/>
    </row>
    <row r="66" spans="1:1" x14ac:dyDescent="0.3">
      <c r="A66" s="2"/>
    </row>
    <row r="79" spans="1:1" x14ac:dyDescent="0.3">
      <c r="A7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366F-E917-4197-A130-90DB1284D6FB}">
  <dimension ref="A1:J79"/>
  <sheetViews>
    <sheetView topLeftCell="A41" workbookViewId="0">
      <selection activeCell="L15" sqref="L15"/>
    </sheetView>
  </sheetViews>
  <sheetFormatPr defaultRowHeight="14.4" x14ac:dyDescent="0.3"/>
  <cols>
    <col min="1" max="1" width="10.33203125" bestFit="1" customWidth="1"/>
    <col min="2" max="2" width="5.109375" bestFit="1" customWidth="1"/>
    <col min="3" max="3" width="11.109375" bestFit="1" customWidth="1"/>
    <col min="4" max="4" width="6.88671875" bestFit="1" customWidth="1"/>
    <col min="5" max="5" width="13.33203125" bestFit="1" customWidth="1"/>
    <col min="6" max="6" width="7.88671875" bestFit="1" customWidth="1"/>
    <col min="7" max="7" width="2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s="2">
        <v>45658</v>
      </c>
      <c r="C2" t="s">
        <v>7</v>
      </c>
      <c r="D2" t="s">
        <v>10</v>
      </c>
      <c r="E2" t="s">
        <v>9</v>
      </c>
      <c r="F2">
        <v>650</v>
      </c>
    </row>
    <row r="3" spans="1:10" x14ac:dyDescent="0.3">
      <c r="A3" s="2">
        <v>45658</v>
      </c>
      <c r="C3" t="s">
        <v>7</v>
      </c>
      <c r="D3" t="s">
        <v>103</v>
      </c>
      <c r="E3" t="s">
        <v>9</v>
      </c>
      <c r="F3">
        <v>7928</v>
      </c>
      <c r="I3" t="s">
        <v>11</v>
      </c>
      <c r="J3">
        <f>SUMIFS(F2:F89,C2:C89,"="&amp;"Income",D2:D89,"="&amp;"Cash")-SUMIFS(F2:F89,C2:C89,"="&amp;"Expense",D2:D89,"="&amp;"Cash")</f>
        <v>470</v>
      </c>
    </row>
    <row r="4" spans="1:10" x14ac:dyDescent="0.3">
      <c r="A4" s="2">
        <v>45658</v>
      </c>
      <c r="C4" t="s">
        <v>7</v>
      </c>
      <c r="D4" t="s">
        <v>8</v>
      </c>
      <c r="E4" t="s">
        <v>9</v>
      </c>
      <c r="F4">
        <v>1500</v>
      </c>
      <c r="I4" t="s">
        <v>15</v>
      </c>
      <c r="J4">
        <f>SUMIFS(F2:F89,C2:C89,"="&amp;"Income",D2:D89,"="&amp;"Savings")-SUMIFS(F2:F89,C2:C89,"="&amp;"Expense",D2:D89,"="&amp;"Savings")</f>
        <v>1500</v>
      </c>
    </row>
    <row r="5" spans="1:10" x14ac:dyDescent="0.3">
      <c r="A5" s="2">
        <v>45658</v>
      </c>
      <c r="C5" t="s">
        <v>7</v>
      </c>
      <c r="D5" t="s">
        <v>103</v>
      </c>
      <c r="E5" t="s">
        <v>13</v>
      </c>
      <c r="F5">
        <v>2600</v>
      </c>
      <c r="G5" t="s">
        <v>117</v>
      </c>
      <c r="I5" t="s">
        <v>105</v>
      </c>
      <c r="J5">
        <f>SUMIFS(F2:F89,C2:C89,"="&amp;"Income",D2:D89,"="&amp;"Gpay")-SUMIFS(F2:F89,C2:C89,"="&amp;"Expense",D2:D89,"="&amp;"Gpay")</f>
        <v>5278</v>
      </c>
    </row>
    <row r="6" spans="1:10" x14ac:dyDescent="0.3">
      <c r="A6" s="2">
        <v>45658</v>
      </c>
      <c r="C6" t="s">
        <v>12</v>
      </c>
      <c r="D6" t="s">
        <v>103</v>
      </c>
      <c r="E6" t="s">
        <v>13</v>
      </c>
      <c r="F6">
        <v>2600</v>
      </c>
      <c r="G6" t="s">
        <v>118</v>
      </c>
    </row>
    <row r="7" spans="1:10" x14ac:dyDescent="0.3">
      <c r="A7" s="2">
        <v>45661</v>
      </c>
      <c r="C7" t="s">
        <v>12</v>
      </c>
      <c r="D7" t="s">
        <v>10</v>
      </c>
      <c r="E7" t="s">
        <v>16</v>
      </c>
      <c r="F7">
        <v>40</v>
      </c>
      <c r="G7" t="s">
        <v>31</v>
      </c>
    </row>
    <row r="8" spans="1:10" x14ac:dyDescent="0.3">
      <c r="A8" s="2">
        <v>45661</v>
      </c>
      <c r="C8" t="s">
        <v>12</v>
      </c>
      <c r="D8" t="s">
        <v>10</v>
      </c>
      <c r="E8" t="s">
        <v>18</v>
      </c>
      <c r="F8">
        <v>10</v>
      </c>
      <c r="G8" t="s">
        <v>27</v>
      </c>
    </row>
    <row r="9" spans="1:10" x14ac:dyDescent="0.3">
      <c r="A9" s="2">
        <v>45661</v>
      </c>
      <c r="C9" t="s">
        <v>12</v>
      </c>
      <c r="D9" t="s">
        <v>10</v>
      </c>
      <c r="E9" t="s">
        <v>119</v>
      </c>
      <c r="F9">
        <v>200</v>
      </c>
      <c r="G9" t="s">
        <v>120</v>
      </c>
    </row>
    <row r="10" spans="1:10" x14ac:dyDescent="0.3">
      <c r="A10" s="2">
        <v>45661</v>
      </c>
      <c r="C10" t="s">
        <v>7</v>
      </c>
      <c r="D10" t="s">
        <v>103</v>
      </c>
      <c r="E10" t="s">
        <v>119</v>
      </c>
      <c r="F10">
        <v>200</v>
      </c>
      <c r="G10" t="s">
        <v>121</v>
      </c>
    </row>
    <row r="11" spans="1:10" x14ac:dyDescent="0.3">
      <c r="A11" s="2">
        <v>45663</v>
      </c>
      <c r="C11" t="s">
        <v>12</v>
      </c>
      <c r="D11" t="s">
        <v>10</v>
      </c>
      <c r="E11" t="s">
        <v>119</v>
      </c>
      <c r="F11">
        <v>200</v>
      </c>
      <c r="G11" t="s">
        <v>120</v>
      </c>
    </row>
    <row r="12" spans="1:10" x14ac:dyDescent="0.3">
      <c r="A12" s="2">
        <v>45663</v>
      </c>
      <c r="C12" t="s">
        <v>7</v>
      </c>
      <c r="D12" t="s">
        <v>103</v>
      </c>
      <c r="E12" t="s">
        <v>119</v>
      </c>
      <c r="F12">
        <v>100</v>
      </c>
      <c r="G12" t="s">
        <v>121</v>
      </c>
    </row>
    <row r="13" spans="1:10" x14ac:dyDescent="0.3">
      <c r="A13" s="2">
        <v>45666</v>
      </c>
      <c r="C13" t="s">
        <v>7</v>
      </c>
      <c r="D13" t="s">
        <v>103</v>
      </c>
      <c r="E13" t="s">
        <v>119</v>
      </c>
      <c r="F13">
        <v>100</v>
      </c>
      <c r="G13" t="s">
        <v>121</v>
      </c>
    </row>
    <row r="14" spans="1:10" x14ac:dyDescent="0.3">
      <c r="A14" s="2">
        <v>45669</v>
      </c>
      <c r="C14" t="s">
        <v>7</v>
      </c>
      <c r="D14" t="s">
        <v>103</v>
      </c>
      <c r="E14" t="s">
        <v>9</v>
      </c>
      <c r="F14">
        <v>3000</v>
      </c>
      <c r="G14" t="s">
        <v>122</v>
      </c>
    </row>
    <row r="15" spans="1:10" x14ac:dyDescent="0.3">
      <c r="A15" s="2">
        <v>45670</v>
      </c>
      <c r="C15" t="s">
        <v>7</v>
      </c>
      <c r="D15" t="s">
        <v>103</v>
      </c>
      <c r="E15" t="s">
        <v>9</v>
      </c>
      <c r="F15">
        <v>5000</v>
      </c>
      <c r="G15" t="s">
        <v>117</v>
      </c>
    </row>
    <row r="16" spans="1:10" x14ac:dyDescent="0.3">
      <c r="A16" s="2">
        <v>45670</v>
      </c>
      <c r="C16" t="s">
        <v>12</v>
      </c>
      <c r="D16" t="s">
        <v>103</v>
      </c>
      <c r="E16" t="s">
        <v>123</v>
      </c>
      <c r="F16">
        <v>5000</v>
      </c>
      <c r="G16" t="s">
        <v>124</v>
      </c>
    </row>
    <row r="17" spans="1:7" x14ac:dyDescent="0.3">
      <c r="A17" s="2">
        <v>45670</v>
      </c>
      <c r="C17" t="s">
        <v>12</v>
      </c>
      <c r="D17" t="s">
        <v>10</v>
      </c>
      <c r="E17" t="s">
        <v>16</v>
      </c>
      <c r="F17">
        <v>120</v>
      </c>
      <c r="G17" t="s">
        <v>125</v>
      </c>
    </row>
    <row r="18" spans="1:7" x14ac:dyDescent="0.3">
      <c r="A18" s="2">
        <v>45670</v>
      </c>
      <c r="C18" t="s">
        <v>12</v>
      </c>
      <c r="D18" t="s">
        <v>103</v>
      </c>
      <c r="E18" t="s">
        <v>126</v>
      </c>
      <c r="F18">
        <v>1400</v>
      </c>
      <c r="G18" t="s">
        <v>84</v>
      </c>
    </row>
    <row r="19" spans="1:7" x14ac:dyDescent="0.3">
      <c r="A19" s="2">
        <v>45670</v>
      </c>
      <c r="C19" t="s">
        <v>12</v>
      </c>
      <c r="D19" t="s">
        <v>103</v>
      </c>
      <c r="E19" t="s">
        <v>119</v>
      </c>
      <c r="F19">
        <v>1600</v>
      </c>
      <c r="G19" t="s">
        <v>127</v>
      </c>
    </row>
    <row r="20" spans="1:7" x14ac:dyDescent="0.3">
      <c r="A20" s="2">
        <v>45671</v>
      </c>
      <c r="C20" t="s">
        <v>7</v>
      </c>
      <c r="D20" t="s">
        <v>103</v>
      </c>
      <c r="E20" t="s">
        <v>9</v>
      </c>
      <c r="F20">
        <v>500</v>
      </c>
      <c r="G20" t="s">
        <v>128</v>
      </c>
    </row>
    <row r="21" spans="1:7" x14ac:dyDescent="0.3">
      <c r="A21" s="2">
        <v>45671</v>
      </c>
      <c r="C21" t="s">
        <v>12</v>
      </c>
      <c r="D21" t="s">
        <v>103</v>
      </c>
      <c r="E21" t="s">
        <v>126</v>
      </c>
      <c r="F21">
        <v>266</v>
      </c>
      <c r="G21" t="s">
        <v>35</v>
      </c>
    </row>
    <row r="22" spans="1:7" x14ac:dyDescent="0.3">
      <c r="A22" s="2">
        <v>45671</v>
      </c>
      <c r="C22" t="s">
        <v>12</v>
      </c>
      <c r="D22" t="s">
        <v>103</v>
      </c>
      <c r="E22" t="s">
        <v>16</v>
      </c>
      <c r="F22">
        <v>50</v>
      </c>
      <c r="G22" t="s">
        <v>129</v>
      </c>
    </row>
    <row r="23" spans="1:7" x14ac:dyDescent="0.3">
      <c r="A23" s="2">
        <v>45672</v>
      </c>
      <c r="C23" t="s">
        <v>12</v>
      </c>
      <c r="D23" t="s">
        <v>10</v>
      </c>
      <c r="E23" t="s">
        <v>18</v>
      </c>
      <c r="F23">
        <v>70</v>
      </c>
      <c r="G23" t="s">
        <v>130</v>
      </c>
    </row>
    <row r="24" spans="1:7" x14ac:dyDescent="0.3">
      <c r="A24" s="2">
        <v>45672</v>
      </c>
      <c r="C24" t="s">
        <v>12</v>
      </c>
      <c r="D24" t="s">
        <v>10</v>
      </c>
      <c r="E24" t="s">
        <v>18</v>
      </c>
      <c r="F24">
        <v>10</v>
      </c>
      <c r="G24" t="s">
        <v>131</v>
      </c>
    </row>
    <row r="25" spans="1:7" x14ac:dyDescent="0.3">
      <c r="A25" s="2">
        <v>45672</v>
      </c>
      <c r="C25" t="s">
        <v>12</v>
      </c>
      <c r="D25" t="s">
        <v>103</v>
      </c>
      <c r="E25" t="s">
        <v>87</v>
      </c>
      <c r="F25">
        <v>597</v>
      </c>
    </row>
    <row r="26" spans="1:7" x14ac:dyDescent="0.3">
      <c r="A26" s="2">
        <v>45672</v>
      </c>
      <c r="C26" t="s">
        <v>12</v>
      </c>
      <c r="D26" t="s">
        <v>103</v>
      </c>
      <c r="E26" t="s">
        <v>16</v>
      </c>
      <c r="F26">
        <v>1922</v>
      </c>
      <c r="G26" t="s">
        <v>132</v>
      </c>
    </row>
    <row r="27" spans="1:7" x14ac:dyDescent="0.3">
      <c r="A27" s="2">
        <v>45672</v>
      </c>
      <c r="C27" t="s">
        <v>7</v>
      </c>
      <c r="D27" t="s">
        <v>103</v>
      </c>
      <c r="E27" t="s">
        <v>9</v>
      </c>
      <c r="F27">
        <v>576</v>
      </c>
      <c r="G27" t="s">
        <v>133</v>
      </c>
    </row>
    <row r="28" spans="1:7" x14ac:dyDescent="0.3">
      <c r="A28" s="2">
        <v>45672</v>
      </c>
      <c r="C28" t="s">
        <v>7</v>
      </c>
      <c r="D28" t="s">
        <v>103</v>
      </c>
      <c r="E28" t="s">
        <v>9</v>
      </c>
      <c r="F28">
        <v>500</v>
      </c>
      <c r="G28" t="s">
        <v>134</v>
      </c>
    </row>
    <row r="29" spans="1:7" x14ac:dyDescent="0.3">
      <c r="A29" s="2">
        <v>45673</v>
      </c>
      <c r="C29" t="s">
        <v>12</v>
      </c>
      <c r="D29" t="s">
        <v>103</v>
      </c>
      <c r="E29" t="s">
        <v>135</v>
      </c>
      <c r="F29">
        <v>11</v>
      </c>
    </row>
    <row r="30" spans="1:7" x14ac:dyDescent="0.3">
      <c r="A30" s="2">
        <v>45673</v>
      </c>
      <c r="C30" t="s">
        <v>12</v>
      </c>
      <c r="D30" t="s">
        <v>10</v>
      </c>
      <c r="E30" t="s">
        <v>16</v>
      </c>
      <c r="F30">
        <v>80</v>
      </c>
      <c r="G30" t="s">
        <v>64</v>
      </c>
    </row>
    <row r="31" spans="1:7" x14ac:dyDescent="0.3">
      <c r="A31" s="2">
        <v>45674</v>
      </c>
      <c r="C31" t="s">
        <v>7</v>
      </c>
      <c r="D31" t="s">
        <v>10</v>
      </c>
      <c r="E31" t="s">
        <v>9</v>
      </c>
      <c r="F31">
        <v>760</v>
      </c>
      <c r="G31" t="s">
        <v>117</v>
      </c>
    </row>
    <row r="32" spans="1:7" x14ac:dyDescent="0.3">
      <c r="A32" s="2">
        <v>45675</v>
      </c>
      <c r="C32" t="s">
        <v>7</v>
      </c>
      <c r="D32" t="s">
        <v>103</v>
      </c>
      <c r="E32" t="s">
        <v>9</v>
      </c>
      <c r="F32">
        <v>850</v>
      </c>
      <c r="G32" t="s">
        <v>117</v>
      </c>
    </row>
    <row r="33" spans="1:7" x14ac:dyDescent="0.3">
      <c r="A33" s="2">
        <v>45675</v>
      </c>
      <c r="C33" t="s">
        <v>12</v>
      </c>
      <c r="D33" t="s">
        <v>103</v>
      </c>
      <c r="E33" t="s">
        <v>126</v>
      </c>
      <c r="F33">
        <v>850</v>
      </c>
      <c r="G33" t="s">
        <v>54</v>
      </c>
    </row>
    <row r="34" spans="1:7" x14ac:dyDescent="0.3">
      <c r="A34" s="2">
        <v>45676</v>
      </c>
      <c r="C34" t="s">
        <v>12</v>
      </c>
      <c r="D34" t="s">
        <v>10</v>
      </c>
      <c r="E34" t="s">
        <v>18</v>
      </c>
      <c r="F34">
        <v>70</v>
      </c>
      <c r="G34" t="s">
        <v>136</v>
      </c>
    </row>
    <row r="35" spans="1:7" x14ac:dyDescent="0.3">
      <c r="A35" s="2">
        <v>45676</v>
      </c>
      <c r="C35" t="s">
        <v>12</v>
      </c>
      <c r="D35" t="s">
        <v>10</v>
      </c>
      <c r="E35" t="s">
        <v>18</v>
      </c>
      <c r="F35">
        <v>10</v>
      </c>
      <c r="G35" t="s">
        <v>136</v>
      </c>
    </row>
    <row r="36" spans="1:7" x14ac:dyDescent="0.3">
      <c r="A36" s="2">
        <v>45678</v>
      </c>
      <c r="C36" t="s">
        <v>12</v>
      </c>
      <c r="D36" t="s">
        <v>10</v>
      </c>
      <c r="E36" t="s">
        <v>16</v>
      </c>
      <c r="F36">
        <v>20</v>
      </c>
      <c r="G36" t="s">
        <v>137</v>
      </c>
    </row>
    <row r="37" spans="1:7" x14ac:dyDescent="0.3">
      <c r="A37" s="2">
        <v>45679</v>
      </c>
      <c r="C37" t="s">
        <v>12</v>
      </c>
      <c r="D37" t="s">
        <v>10</v>
      </c>
      <c r="E37" t="s">
        <v>16</v>
      </c>
      <c r="F37">
        <v>20</v>
      </c>
      <c r="G37" t="s">
        <v>138</v>
      </c>
    </row>
    <row r="38" spans="1:7" x14ac:dyDescent="0.3">
      <c r="A38" s="2">
        <v>45680</v>
      </c>
      <c r="C38" t="s">
        <v>12</v>
      </c>
      <c r="D38" t="s">
        <v>10</v>
      </c>
      <c r="E38" t="s">
        <v>18</v>
      </c>
      <c r="F38">
        <v>10</v>
      </c>
      <c r="G38" t="s">
        <v>27</v>
      </c>
    </row>
    <row r="39" spans="1:7" x14ac:dyDescent="0.3">
      <c r="A39" s="2">
        <v>45681</v>
      </c>
      <c r="C39" t="s">
        <v>12</v>
      </c>
      <c r="D39" t="s">
        <v>103</v>
      </c>
      <c r="E39" t="s">
        <v>16</v>
      </c>
      <c r="F39">
        <v>40</v>
      </c>
      <c r="G39" t="s">
        <v>139</v>
      </c>
    </row>
    <row r="40" spans="1:7" x14ac:dyDescent="0.3">
      <c r="A40" s="2">
        <v>45684</v>
      </c>
      <c r="C40" t="s">
        <v>7</v>
      </c>
      <c r="D40" t="s">
        <v>103</v>
      </c>
      <c r="E40" t="s">
        <v>140</v>
      </c>
      <c r="F40">
        <v>10</v>
      </c>
      <c r="G40" t="s">
        <v>141</v>
      </c>
    </row>
    <row r="41" spans="1:7" x14ac:dyDescent="0.3">
      <c r="A41" s="2">
        <v>45687</v>
      </c>
      <c r="C41" t="s">
        <v>12</v>
      </c>
      <c r="D41" t="s">
        <v>10</v>
      </c>
      <c r="E41" t="s">
        <v>16</v>
      </c>
      <c r="F41">
        <v>50</v>
      </c>
    </row>
    <row r="42" spans="1:7" x14ac:dyDescent="0.3">
      <c r="A42" s="2">
        <v>45691</v>
      </c>
      <c r="C42" t="s">
        <v>12</v>
      </c>
      <c r="D42" t="s">
        <v>103</v>
      </c>
      <c r="E42" t="s">
        <v>142</v>
      </c>
      <c r="F42">
        <v>250</v>
      </c>
    </row>
    <row r="43" spans="1:7" x14ac:dyDescent="0.3">
      <c r="A43" s="2">
        <v>45692</v>
      </c>
      <c r="C43" t="s">
        <v>7</v>
      </c>
      <c r="D43" t="s">
        <v>103</v>
      </c>
      <c r="E43" t="s">
        <v>142</v>
      </c>
      <c r="F43">
        <v>250</v>
      </c>
    </row>
    <row r="44" spans="1:7" x14ac:dyDescent="0.3">
      <c r="A44" s="2">
        <v>45693</v>
      </c>
      <c r="C44" t="s">
        <v>12</v>
      </c>
      <c r="D44" t="s">
        <v>10</v>
      </c>
      <c r="E44" t="s">
        <v>21</v>
      </c>
      <c r="F44">
        <v>30</v>
      </c>
      <c r="G44" t="s">
        <v>143</v>
      </c>
    </row>
    <row r="45" spans="1:7" x14ac:dyDescent="0.3">
      <c r="A45" s="2">
        <v>45698</v>
      </c>
      <c r="C45" t="s">
        <v>12</v>
      </c>
      <c r="D45" t="s">
        <v>103</v>
      </c>
      <c r="E45" t="s">
        <v>142</v>
      </c>
      <c r="F45">
        <v>250</v>
      </c>
      <c r="G45" t="s">
        <v>144</v>
      </c>
    </row>
    <row r="46" spans="1:7" x14ac:dyDescent="0.3">
      <c r="A46" s="2">
        <v>45698</v>
      </c>
      <c r="C46" t="s">
        <v>7</v>
      </c>
      <c r="D46" t="s">
        <v>103</v>
      </c>
      <c r="E46" t="s">
        <v>142</v>
      </c>
      <c r="F46">
        <v>3000</v>
      </c>
    </row>
    <row r="47" spans="1:7" x14ac:dyDescent="0.3">
      <c r="A47" s="2">
        <v>45698</v>
      </c>
      <c r="C47" t="s">
        <v>7</v>
      </c>
      <c r="D47" t="s">
        <v>103</v>
      </c>
      <c r="E47" t="s">
        <v>142</v>
      </c>
      <c r="F47">
        <v>1500</v>
      </c>
    </row>
    <row r="48" spans="1:7" x14ac:dyDescent="0.3">
      <c r="A48" s="2">
        <v>45698</v>
      </c>
      <c r="C48" t="s">
        <v>12</v>
      </c>
      <c r="D48" t="s">
        <v>103</v>
      </c>
      <c r="E48" t="s">
        <v>13</v>
      </c>
      <c r="F48">
        <v>6000</v>
      </c>
      <c r="G48" t="s">
        <v>145</v>
      </c>
    </row>
    <row r="49" spans="1:7" x14ac:dyDescent="0.3">
      <c r="A49" s="2">
        <v>45698</v>
      </c>
      <c r="C49" t="s">
        <v>7</v>
      </c>
      <c r="D49" t="s">
        <v>103</v>
      </c>
      <c r="E49" t="s">
        <v>9</v>
      </c>
      <c r="F49">
        <v>10000</v>
      </c>
      <c r="G49" t="s">
        <v>128</v>
      </c>
    </row>
    <row r="50" spans="1:7" x14ac:dyDescent="0.3">
      <c r="A50" s="2">
        <v>45698</v>
      </c>
      <c r="C50" t="s">
        <v>12</v>
      </c>
      <c r="D50" t="s">
        <v>103</v>
      </c>
      <c r="E50" t="s">
        <v>142</v>
      </c>
      <c r="F50">
        <v>10000</v>
      </c>
    </row>
    <row r="66" spans="1:1" x14ac:dyDescent="0.3">
      <c r="A66" s="2"/>
    </row>
    <row r="79" spans="1:1" x14ac:dyDescent="0.3">
      <c r="A7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B9BA-4628-47CB-89E3-2B93239890EC}">
  <dimension ref="A1:J80"/>
  <sheetViews>
    <sheetView workbookViewId="0">
      <selection activeCell="I35" sqref="I35"/>
    </sheetView>
  </sheetViews>
  <sheetFormatPr defaultRowHeight="14.4" x14ac:dyDescent="0.3"/>
  <cols>
    <col min="1" max="1" width="10.33203125" bestFit="1" customWidth="1"/>
    <col min="2" max="2" width="5.109375" bestFit="1" customWidth="1"/>
    <col min="3" max="3" width="11.109375" bestFit="1" customWidth="1"/>
    <col min="4" max="4" width="6.88671875" bestFit="1" customWidth="1"/>
    <col min="5" max="5" width="13.33203125" bestFit="1" customWidth="1"/>
    <col min="6" max="6" width="7.88671875" bestFit="1" customWidth="1"/>
    <col min="7" max="7" width="2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s="5">
        <v>45434</v>
      </c>
      <c r="C2" t="s">
        <v>7</v>
      </c>
      <c r="D2" t="s">
        <v>10</v>
      </c>
      <c r="E2" t="s">
        <v>146</v>
      </c>
      <c r="F2">
        <v>500</v>
      </c>
      <c r="G2" t="s">
        <v>147</v>
      </c>
    </row>
    <row r="3" spans="1:10" x14ac:dyDescent="0.3">
      <c r="A3" s="5">
        <v>45435</v>
      </c>
      <c r="C3" t="s">
        <v>7</v>
      </c>
      <c r="D3" t="s">
        <v>10</v>
      </c>
      <c r="E3" t="s">
        <v>146</v>
      </c>
      <c r="F3">
        <v>1500</v>
      </c>
      <c r="G3" t="s">
        <v>147</v>
      </c>
      <c r="I3" t="s">
        <v>11</v>
      </c>
      <c r="J3">
        <f>SUMIFS(F2:F90,C2:C90,"="&amp;"Income",D2:D90,"="&amp;"Cash")-SUMIFS(F2:F90,C2:C90,"="&amp;"Expense",D2:D90,"="&amp;"Cash")</f>
        <v>266</v>
      </c>
    </row>
    <row r="4" spans="1:10" x14ac:dyDescent="0.3">
      <c r="A4" s="5">
        <v>45435</v>
      </c>
      <c r="C4" t="s">
        <v>12</v>
      </c>
      <c r="D4" t="s">
        <v>10</v>
      </c>
      <c r="E4" t="s">
        <v>18</v>
      </c>
      <c r="F4">
        <v>225</v>
      </c>
      <c r="G4" t="s">
        <v>148</v>
      </c>
      <c r="I4" t="s">
        <v>15</v>
      </c>
      <c r="J4">
        <f>SUMIFS(F2:F90,C2:C90,"="&amp;"Income",D2:D90,"="&amp;"Savings")-SUMIFS(F2:F90,C2:C90,"="&amp;"Expense",D2:D90,"="&amp;"Savings")</f>
        <v>0</v>
      </c>
    </row>
    <row r="5" spans="1:10" x14ac:dyDescent="0.3">
      <c r="A5" s="5">
        <v>45437</v>
      </c>
      <c r="C5" t="s">
        <v>7</v>
      </c>
      <c r="D5" t="s">
        <v>10</v>
      </c>
      <c r="E5" t="s">
        <v>146</v>
      </c>
      <c r="F5">
        <v>500</v>
      </c>
      <c r="G5" t="s">
        <v>147</v>
      </c>
      <c r="I5" t="s">
        <v>105</v>
      </c>
    </row>
    <row r="6" spans="1:10" x14ac:dyDescent="0.3">
      <c r="A6" s="5">
        <v>45437</v>
      </c>
      <c r="C6" t="s">
        <v>7</v>
      </c>
      <c r="D6" t="s">
        <v>10</v>
      </c>
      <c r="E6" t="s">
        <v>9</v>
      </c>
      <c r="F6">
        <v>2000</v>
      </c>
      <c r="G6" t="s">
        <v>149</v>
      </c>
    </row>
    <row r="7" spans="1:10" x14ac:dyDescent="0.3">
      <c r="A7" s="5">
        <v>45437</v>
      </c>
      <c r="C7" t="s">
        <v>12</v>
      </c>
      <c r="D7" t="s">
        <v>10</v>
      </c>
      <c r="E7" t="s">
        <v>82</v>
      </c>
      <c r="F7">
        <v>418</v>
      </c>
      <c r="G7" t="s">
        <v>150</v>
      </c>
    </row>
    <row r="8" spans="1:10" x14ac:dyDescent="0.3">
      <c r="A8" s="5">
        <v>45438</v>
      </c>
      <c r="C8" t="s">
        <v>12</v>
      </c>
      <c r="D8" t="s">
        <v>10</v>
      </c>
      <c r="E8" t="s">
        <v>48</v>
      </c>
      <c r="F8">
        <v>1029</v>
      </c>
      <c r="G8" t="s">
        <v>151</v>
      </c>
    </row>
    <row r="9" spans="1:10" x14ac:dyDescent="0.3">
      <c r="A9" s="5">
        <v>45438</v>
      </c>
      <c r="C9" t="s">
        <v>12</v>
      </c>
      <c r="D9" t="s">
        <v>10</v>
      </c>
      <c r="E9" t="s">
        <v>18</v>
      </c>
      <c r="F9">
        <v>536</v>
      </c>
      <c r="G9" t="s">
        <v>152</v>
      </c>
    </row>
    <row r="10" spans="1:10" x14ac:dyDescent="0.3">
      <c r="A10" s="5">
        <v>45438</v>
      </c>
      <c r="C10" t="s">
        <v>12</v>
      </c>
      <c r="D10" t="s">
        <v>10</v>
      </c>
      <c r="E10" t="s">
        <v>48</v>
      </c>
      <c r="F10">
        <v>743</v>
      </c>
      <c r="G10" t="s">
        <v>48</v>
      </c>
    </row>
    <row r="11" spans="1:10" x14ac:dyDescent="0.3">
      <c r="A11" s="5">
        <v>45439</v>
      </c>
      <c r="C11" t="s">
        <v>12</v>
      </c>
      <c r="D11" t="s">
        <v>10</v>
      </c>
      <c r="E11" t="s">
        <v>153</v>
      </c>
      <c r="F11">
        <v>35</v>
      </c>
      <c r="G11" t="s">
        <v>154</v>
      </c>
    </row>
    <row r="12" spans="1:10" x14ac:dyDescent="0.3">
      <c r="A12" s="5">
        <v>45440</v>
      </c>
      <c r="C12" t="s">
        <v>12</v>
      </c>
      <c r="D12" t="s">
        <v>10</v>
      </c>
      <c r="E12" t="s">
        <v>16</v>
      </c>
      <c r="F12">
        <v>100</v>
      </c>
      <c r="G12" t="s">
        <v>47</v>
      </c>
    </row>
    <row r="13" spans="1:10" x14ac:dyDescent="0.3">
      <c r="A13" s="5">
        <v>45440</v>
      </c>
      <c r="C13" t="s">
        <v>7</v>
      </c>
      <c r="D13" t="s">
        <v>10</v>
      </c>
      <c r="E13" t="s">
        <v>155</v>
      </c>
      <c r="F13">
        <v>117</v>
      </c>
      <c r="G13" t="s">
        <v>156</v>
      </c>
    </row>
    <row r="14" spans="1:10" x14ac:dyDescent="0.3">
      <c r="A14" s="5">
        <v>45440</v>
      </c>
      <c r="C14" t="s">
        <v>12</v>
      </c>
      <c r="D14" t="s">
        <v>10</v>
      </c>
      <c r="E14" t="s">
        <v>16</v>
      </c>
      <c r="F14">
        <v>117</v>
      </c>
    </row>
    <row r="15" spans="1:10" x14ac:dyDescent="0.3">
      <c r="A15" s="5">
        <v>45441</v>
      </c>
      <c r="C15" t="s">
        <v>12</v>
      </c>
      <c r="D15" t="s">
        <v>10</v>
      </c>
      <c r="E15" t="s">
        <v>16</v>
      </c>
      <c r="F15">
        <v>500</v>
      </c>
    </row>
    <row r="16" spans="1:10" x14ac:dyDescent="0.3">
      <c r="A16" s="5">
        <v>45443</v>
      </c>
      <c r="C16" t="s">
        <v>12</v>
      </c>
      <c r="D16" t="s">
        <v>10</v>
      </c>
      <c r="E16" t="s">
        <v>82</v>
      </c>
      <c r="F16">
        <v>129</v>
      </c>
      <c r="G16" t="s">
        <v>157</v>
      </c>
    </row>
    <row r="17" spans="1:7" x14ac:dyDescent="0.3">
      <c r="A17" s="5">
        <v>45444</v>
      </c>
      <c r="C17" t="s">
        <v>7</v>
      </c>
      <c r="D17" t="s">
        <v>10</v>
      </c>
      <c r="E17" t="s">
        <v>155</v>
      </c>
      <c r="F17">
        <v>146</v>
      </c>
      <c r="G17" t="s">
        <v>158</v>
      </c>
    </row>
    <row r="18" spans="1:7" x14ac:dyDescent="0.3">
      <c r="A18" s="5">
        <v>45297</v>
      </c>
      <c r="C18" t="s">
        <v>12</v>
      </c>
      <c r="D18" t="s">
        <v>10</v>
      </c>
      <c r="E18" t="s">
        <v>16</v>
      </c>
      <c r="F18">
        <v>146</v>
      </c>
    </row>
    <row r="19" spans="1:7" x14ac:dyDescent="0.3">
      <c r="A19" s="5">
        <v>45297</v>
      </c>
      <c r="C19" t="s">
        <v>12</v>
      </c>
      <c r="D19" t="s">
        <v>10</v>
      </c>
      <c r="E19" t="s">
        <v>159</v>
      </c>
      <c r="F19">
        <v>260</v>
      </c>
      <c r="G19" t="s">
        <v>160</v>
      </c>
    </row>
    <row r="20" spans="1:7" x14ac:dyDescent="0.3">
      <c r="A20" s="5">
        <v>45328</v>
      </c>
      <c r="C20" t="s">
        <v>7</v>
      </c>
      <c r="D20" t="s">
        <v>10</v>
      </c>
      <c r="E20" t="s">
        <v>155</v>
      </c>
      <c r="F20">
        <v>81</v>
      </c>
      <c r="G20" t="s">
        <v>156</v>
      </c>
    </row>
    <row r="21" spans="1:7" x14ac:dyDescent="0.3">
      <c r="A21" s="5">
        <v>45328</v>
      </c>
      <c r="C21" t="s">
        <v>12</v>
      </c>
      <c r="D21" t="s">
        <v>10</v>
      </c>
      <c r="E21" t="s">
        <v>159</v>
      </c>
      <c r="F21">
        <v>340</v>
      </c>
    </row>
    <row r="22" spans="1:7" x14ac:dyDescent="0.3">
      <c r="A22" s="5">
        <v>45328</v>
      </c>
    </row>
    <row r="23" spans="1:7" x14ac:dyDescent="0.3">
      <c r="A23" s="5">
        <v>45357</v>
      </c>
    </row>
    <row r="24" spans="1:7" x14ac:dyDescent="0.3">
      <c r="A24" s="5">
        <v>45388</v>
      </c>
    </row>
    <row r="25" spans="1:7" x14ac:dyDescent="0.3">
      <c r="A25" s="5">
        <v>45388</v>
      </c>
    </row>
    <row r="26" spans="1:7" x14ac:dyDescent="0.3">
      <c r="A26" s="5">
        <v>45479</v>
      </c>
    </row>
    <row r="27" spans="1:7" x14ac:dyDescent="0.3">
      <c r="A27" s="5">
        <v>45510</v>
      </c>
    </row>
    <row r="28" spans="1:7" x14ac:dyDescent="0.3">
      <c r="A28" s="5">
        <v>45541</v>
      </c>
    </row>
    <row r="29" spans="1:7" x14ac:dyDescent="0.3">
      <c r="A29" s="5">
        <v>45541</v>
      </c>
    </row>
    <row r="30" spans="1:7" x14ac:dyDescent="0.3">
      <c r="A30" s="5">
        <v>45571</v>
      </c>
    </row>
    <row r="31" spans="1:7" x14ac:dyDescent="0.3">
      <c r="A31" s="5">
        <v>45602</v>
      </c>
    </row>
    <row r="32" spans="1:7" x14ac:dyDescent="0.3">
      <c r="A32" s="5">
        <v>45602</v>
      </c>
    </row>
    <row r="33" spans="1:1" x14ac:dyDescent="0.3">
      <c r="A33" s="5">
        <v>45602</v>
      </c>
    </row>
    <row r="34" spans="1:1" x14ac:dyDescent="0.3">
      <c r="A34" s="5">
        <v>45602</v>
      </c>
    </row>
    <row r="35" spans="1:1" x14ac:dyDescent="0.3">
      <c r="A35" s="5">
        <v>45632</v>
      </c>
    </row>
    <row r="36" spans="1:1" x14ac:dyDescent="0.3">
      <c r="A36" s="5">
        <v>45632</v>
      </c>
    </row>
    <row r="37" spans="1:1" x14ac:dyDescent="0.3">
      <c r="A37" s="5">
        <v>45456</v>
      </c>
    </row>
    <row r="38" spans="1:1" x14ac:dyDescent="0.3">
      <c r="A38" s="5">
        <v>45456</v>
      </c>
    </row>
    <row r="39" spans="1:1" x14ac:dyDescent="0.3">
      <c r="A39" s="5">
        <v>45458</v>
      </c>
    </row>
    <row r="40" spans="1:1" x14ac:dyDescent="0.3">
      <c r="A40" s="5">
        <v>45459</v>
      </c>
    </row>
    <row r="41" spans="1:1" x14ac:dyDescent="0.3">
      <c r="A41" s="5">
        <v>45459</v>
      </c>
    </row>
    <row r="42" spans="1:1" x14ac:dyDescent="0.3">
      <c r="A42" s="5">
        <v>45460</v>
      </c>
    </row>
    <row r="43" spans="1:1" x14ac:dyDescent="0.3">
      <c r="A43" s="5">
        <v>45461</v>
      </c>
    </row>
    <row r="44" spans="1:1" x14ac:dyDescent="0.3">
      <c r="A44" s="5">
        <v>45471</v>
      </c>
    </row>
    <row r="45" spans="1:1" x14ac:dyDescent="0.3">
      <c r="A45" s="5">
        <v>45471</v>
      </c>
    </row>
    <row r="46" spans="1:1" x14ac:dyDescent="0.3">
      <c r="A46" s="5">
        <v>45471</v>
      </c>
    </row>
    <row r="47" spans="1:1" x14ac:dyDescent="0.3">
      <c r="A47" s="5">
        <v>45471</v>
      </c>
    </row>
    <row r="48" spans="1:1" x14ac:dyDescent="0.3">
      <c r="A48" s="5">
        <v>45472</v>
      </c>
    </row>
    <row r="49" spans="1:1" x14ac:dyDescent="0.3">
      <c r="A49" s="5">
        <v>45473</v>
      </c>
    </row>
    <row r="51" spans="1:1" x14ac:dyDescent="0.3">
      <c r="A51" s="2"/>
    </row>
    <row r="67" spans="1:1" x14ac:dyDescent="0.3">
      <c r="A67" s="2"/>
    </row>
    <row r="80" spans="1:1" x14ac:dyDescent="0.3">
      <c r="A8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B066-2D07-46DF-A0D4-CDA2C20B1CE3}">
  <dimension ref="A1:L85"/>
  <sheetViews>
    <sheetView workbookViewId="0">
      <selection activeCell="L15" sqref="L15"/>
    </sheetView>
  </sheetViews>
  <sheetFormatPr defaultRowHeight="14.4" x14ac:dyDescent="0.3"/>
  <cols>
    <col min="1" max="1" width="10.88671875" style="7" bestFit="1" customWidth="1"/>
    <col min="2" max="2" width="6.44140625" customWidth="1"/>
    <col min="3" max="4" width="11.6640625" style="8" customWidth="1"/>
    <col min="5" max="5" width="10.33203125" bestFit="1" customWidth="1"/>
  </cols>
  <sheetData>
    <row r="1" spans="1:6" x14ac:dyDescent="0.3">
      <c r="A1" s="9" t="s">
        <v>0</v>
      </c>
      <c r="B1" s="1" t="s">
        <v>1</v>
      </c>
      <c r="C1" s="10" t="s">
        <v>161</v>
      </c>
      <c r="D1" s="10" t="s">
        <v>3</v>
      </c>
      <c r="E1" s="1" t="s">
        <v>4</v>
      </c>
      <c r="F1" s="1" t="s">
        <v>5</v>
      </c>
    </row>
    <row r="2" spans="1:6" x14ac:dyDescent="0.3">
      <c r="A2" s="7">
        <v>45439</v>
      </c>
      <c r="B2" s="6"/>
      <c r="C2" s="8" t="s">
        <v>7</v>
      </c>
      <c r="D2" s="8" t="s">
        <v>10</v>
      </c>
      <c r="F2">
        <v>1060</v>
      </c>
    </row>
    <row r="3" spans="1:6" x14ac:dyDescent="0.3">
      <c r="A3" s="7">
        <v>45439</v>
      </c>
      <c r="B3" s="6"/>
      <c r="C3" s="8" t="s">
        <v>12</v>
      </c>
      <c r="D3" s="8" t="s">
        <v>10</v>
      </c>
      <c r="E3" t="s">
        <v>162</v>
      </c>
      <c r="F3">
        <v>30</v>
      </c>
    </row>
    <row r="4" spans="1:6" x14ac:dyDescent="0.3">
      <c r="A4" s="7">
        <v>45439</v>
      </c>
      <c r="B4" s="6"/>
      <c r="C4" s="8" t="s">
        <v>12</v>
      </c>
      <c r="D4" s="8" t="s">
        <v>10</v>
      </c>
      <c r="E4" t="s">
        <v>162</v>
      </c>
      <c r="F4">
        <v>10</v>
      </c>
    </row>
    <row r="5" spans="1:6" x14ac:dyDescent="0.3">
      <c r="A5" s="7">
        <v>45440</v>
      </c>
      <c r="B5" s="6"/>
      <c r="C5" s="8" t="s">
        <v>12</v>
      </c>
      <c r="D5" s="8" t="s">
        <v>10</v>
      </c>
      <c r="E5" t="s">
        <v>162</v>
      </c>
      <c r="F5">
        <v>30</v>
      </c>
    </row>
    <row r="6" spans="1:6" x14ac:dyDescent="0.3">
      <c r="A6" s="7">
        <v>45440</v>
      </c>
      <c r="B6" s="6"/>
      <c r="C6" s="8" t="s">
        <v>12</v>
      </c>
      <c r="D6" s="8" t="s">
        <v>10</v>
      </c>
      <c r="E6" t="s">
        <v>163</v>
      </c>
      <c r="F6">
        <v>20</v>
      </c>
    </row>
    <row r="7" spans="1:6" x14ac:dyDescent="0.3">
      <c r="A7" s="7">
        <v>45440</v>
      </c>
      <c r="B7" s="6"/>
      <c r="C7" s="8" t="s">
        <v>12</v>
      </c>
      <c r="D7" s="8" t="s">
        <v>10</v>
      </c>
      <c r="E7" t="s">
        <v>164</v>
      </c>
      <c r="F7">
        <v>70</v>
      </c>
    </row>
    <row r="8" spans="1:6" x14ac:dyDescent="0.3">
      <c r="A8" s="7">
        <v>45440</v>
      </c>
      <c r="B8" s="6"/>
      <c r="C8" s="8" t="s">
        <v>12</v>
      </c>
      <c r="D8" s="8" t="s">
        <v>10</v>
      </c>
      <c r="E8" t="s">
        <v>165</v>
      </c>
      <c r="F8">
        <v>29</v>
      </c>
    </row>
    <row r="9" spans="1:6" x14ac:dyDescent="0.3">
      <c r="A9" s="7">
        <v>45441</v>
      </c>
      <c r="B9" s="6"/>
      <c r="C9" s="8" t="s">
        <v>12</v>
      </c>
      <c r="D9" s="8" t="s">
        <v>10</v>
      </c>
      <c r="E9" t="s">
        <v>162</v>
      </c>
      <c r="F9">
        <v>30</v>
      </c>
    </row>
    <row r="10" spans="1:6" x14ac:dyDescent="0.3">
      <c r="A10" s="7">
        <v>45441</v>
      </c>
      <c r="B10" s="6"/>
      <c r="C10" s="8" t="s">
        <v>12</v>
      </c>
      <c r="D10" s="8" t="s">
        <v>10</v>
      </c>
      <c r="E10" t="s">
        <v>162</v>
      </c>
      <c r="F10">
        <v>10</v>
      </c>
    </row>
    <row r="11" spans="1:6" x14ac:dyDescent="0.3">
      <c r="A11" s="7">
        <v>45442</v>
      </c>
      <c r="B11" s="6"/>
      <c r="C11" s="8" t="s">
        <v>12</v>
      </c>
      <c r="D11" s="8" t="s">
        <v>10</v>
      </c>
      <c r="E11" t="s">
        <v>162</v>
      </c>
      <c r="F11">
        <v>30</v>
      </c>
    </row>
    <row r="12" spans="1:6" x14ac:dyDescent="0.3">
      <c r="A12" s="7">
        <v>45442</v>
      </c>
      <c r="B12" s="6"/>
      <c r="C12" s="8" t="s">
        <v>12</v>
      </c>
      <c r="D12" s="8" t="s">
        <v>10</v>
      </c>
      <c r="E12" t="s">
        <v>163</v>
      </c>
      <c r="F12">
        <v>20</v>
      </c>
    </row>
    <row r="13" spans="1:6" x14ac:dyDescent="0.3">
      <c r="A13" s="7">
        <v>45442</v>
      </c>
      <c r="B13" s="6"/>
      <c r="C13" s="8" t="s">
        <v>12</v>
      </c>
      <c r="D13" s="8" t="s">
        <v>10</v>
      </c>
      <c r="E13" t="s">
        <v>162</v>
      </c>
      <c r="F13">
        <v>10</v>
      </c>
    </row>
    <row r="14" spans="1:6" x14ac:dyDescent="0.3">
      <c r="A14" s="7">
        <v>45443</v>
      </c>
      <c r="B14" s="6"/>
      <c r="C14" s="8" t="s">
        <v>12</v>
      </c>
      <c r="D14" s="8" t="s">
        <v>10</v>
      </c>
      <c r="E14" t="s">
        <v>162</v>
      </c>
      <c r="F14">
        <v>30</v>
      </c>
    </row>
    <row r="15" spans="1:6" x14ac:dyDescent="0.3">
      <c r="A15" s="7">
        <v>45443</v>
      </c>
      <c r="B15" s="6"/>
      <c r="C15" s="8" t="s">
        <v>12</v>
      </c>
      <c r="D15" s="8" t="s">
        <v>10</v>
      </c>
      <c r="E15" t="s">
        <v>164</v>
      </c>
      <c r="F15">
        <v>70</v>
      </c>
    </row>
    <row r="16" spans="1:6" x14ac:dyDescent="0.3">
      <c r="A16" s="7">
        <v>45443</v>
      </c>
      <c r="B16" s="6"/>
      <c r="C16" s="8" t="s">
        <v>12</v>
      </c>
      <c r="D16" s="8" t="s">
        <v>10</v>
      </c>
      <c r="E16" t="s">
        <v>165</v>
      </c>
      <c r="F16">
        <v>29</v>
      </c>
    </row>
    <row r="17" spans="1:12" x14ac:dyDescent="0.3">
      <c r="A17" s="7">
        <v>45444</v>
      </c>
      <c r="B17" s="6"/>
      <c r="C17" s="8" t="s">
        <v>12</v>
      </c>
      <c r="D17" s="8" t="s">
        <v>10</v>
      </c>
      <c r="E17" t="s">
        <v>162</v>
      </c>
      <c r="F17">
        <v>30</v>
      </c>
    </row>
    <row r="18" spans="1:12" x14ac:dyDescent="0.3">
      <c r="A18" s="7">
        <v>45444</v>
      </c>
      <c r="B18" s="6"/>
      <c r="C18" s="8" t="s">
        <v>12</v>
      </c>
      <c r="D18" s="8" t="s">
        <v>10</v>
      </c>
      <c r="E18" t="s">
        <v>162</v>
      </c>
      <c r="F18">
        <v>10</v>
      </c>
    </row>
    <row r="19" spans="1:12" x14ac:dyDescent="0.3">
      <c r="A19" s="7">
        <v>45446</v>
      </c>
      <c r="B19" s="6"/>
      <c r="C19" s="8" t="s">
        <v>12</v>
      </c>
      <c r="D19" s="8" t="s">
        <v>10</v>
      </c>
      <c r="E19" t="s">
        <v>163</v>
      </c>
      <c r="F19">
        <v>40</v>
      </c>
    </row>
    <row r="20" spans="1:12" x14ac:dyDescent="0.3">
      <c r="A20" s="7">
        <v>45447</v>
      </c>
      <c r="B20" s="6"/>
      <c r="C20" s="8" t="s">
        <v>12</v>
      </c>
      <c r="D20" s="8" t="s">
        <v>10</v>
      </c>
      <c r="E20" t="s">
        <v>162</v>
      </c>
      <c r="F20">
        <v>30</v>
      </c>
    </row>
    <row r="21" spans="1:12" x14ac:dyDescent="0.3">
      <c r="A21" s="7">
        <v>45447</v>
      </c>
      <c r="B21" s="6"/>
      <c r="C21" s="8" t="s">
        <v>7</v>
      </c>
      <c r="D21" s="8" t="s">
        <v>10</v>
      </c>
      <c r="F21">
        <v>500</v>
      </c>
    </row>
    <row r="22" spans="1:12" x14ac:dyDescent="0.3">
      <c r="A22" s="7">
        <v>45447</v>
      </c>
      <c r="B22" s="6"/>
      <c r="C22" s="8" t="s">
        <v>12</v>
      </c>
      <c r="D22" s="8" t="s">
        <v>10</v>
      </c>
      <c r="E22" t="s">
        <v>164</v>
      </c>
      <c r="F22">
        <v>100</v>
      </c>
    </row>
    <row r="23" spans="1:12" x14ac:dyDescent="0.3">
      <c r="A23" s="7">
        <v>45447</v>
      </c>
      <c r="B23" s="6"/>
      <c r="C23" s="8" t="s">
        <v>12</v>
      </c>
      <c r="D23" s="8" t="s">
        <v>10</v>
      </c>
      <c r="E23" t="s">
        <v>164</v>
      </c>
      <c r="F23">
        <v>35</v>
      </c>
    </row>
    <row r="24" spans="1:12" x14ac:dyDescent="0.3">
      <c r="A24" s="7">
        <v>45447</v>
      </c>
      <c r="B24" s="6"/>
      <c r="C24" s="8" t="s">
        <v>12</v>
      </c>
      <c r="D24" s="8" t="s">
        <v>10</v>
      </c>
      <c r="E24" t="s">
        <v>165</v>
      </c>
      <c r="F24">
        <v>27</v>
      </c>
    </row>
    <row r="25" spans="1:12" x14ac:dyDescent="0.3">
      <c r="A25" s="7">
        <v>45449</v>
      </c>
      <c r="B25" s="6"/>
      <c r="C25" s="8" t="s">
        <v>12</v>
      </c>
      <c r="D25" s="8" t="s">
        <v>10</v>
      </c>
      <c r="E25" t="s">
        <v>162</v>
      </c>
      <c r="F25">
        <v>30</v>
      </c>
    </row>
    <row r="26" spans="1:12" x14ac:dyDescent="0.3">
      <c r="A26" s="7">
        <v>45449</v>
      </c>
      <c r="B26" s="6"/>
      <c r="C26" s="8" t="s">
        <v>12</v>
      </c>
      <c r="D26" s="8" t="s">
        <v>10</v>
      </c>
      <c r="E26" t="s">
        <v>164</v>
      </c>
      <c r="F26">
        <v>70</v>
      </c>
    </row>
    <row r="27" spans="1:12" x14ac:dyDescent="0.3">
      <c r="A27" s="7">
        <v>45449</v>
      </c>
      <c r="B27" s="6"/>
      <c r="C27" s="8" t="s">
        <v>12</v>
      </c>
      <c r="D27" s="8" t="s">
        <v>10</v>
      </c>
      <c r="E27" t="s">
        <v>165</v>
      </c>
      <c r="F27">
        <v>27</v>
      </c>
    </row>
    <row r="28" spans="1:12" x14ac:dyDescent="0.3">
      <c r="A28" s="7">
        <v>45451</v>
      </c>
      <c r="B28" s="6"/>
      <c r="C28" s="8" t="s">
        <v>12</v>
      </c>
      <c r="D28" s="8" t="s">
        <v>10</v>
      </c>
      <c r="E28" t="s">
        <v>162</v>
      </c>
      <c r="F28">
        <v>10</v>
      </c>
    </row>
    <row r="29" spans="1:12" x14ac:dyDescent="0.3">
      <c r="A29" s="7">
        <v>45453</v>
      </c>
      <c r="B29" s="6"/>
      <c r="C29" s="8" t="s">
        <v>12</v>
      </c>
      <c r="D29" s="8" t="s">
        <v>10</v>
      </c>
      <c r="E29" t="s">
        <v>162</v>
      </c>
      <c r="F29">
        <v>30</v>
      </c>
    </row>
    <row r="30" spans="1:12" x14ac:dyDescent="0.3">
      <c r="A30" s="7">
        <v>45453</v>
      </c>
      <c r="B30" s="6"/>
      <c r="C30" s="8" t="s">
        <v>12</v>
      </c>
      <c r="D30" s="8" t="s">
        <v>10</v>
      </c>
      <c r="E30" t="s">
        <v>163</v>
      </c>
      <c r="F30">
        <v>40</v>
      </c>
    </row>
    <row r="31" spans="1:12" x14ac:dyDescent="0.3">
      <c r="A31" s="7">
        <v>45453</v>
      </c>
      <c r="B31" s="6"/>
      <c r="C31" s="8" t="s">
        <v>12</v>
      </c>
      <c r="D31" s="8" t="s">
        <v>10</v>
      </c>
      <c r="E31" t="s">
        <v>166</v>
      </c>
      <c r="F31">
        <v>60</v>
      </c>
    </row>
    <row r="32" spans="1:12" x14ac:dyDescent="0.3">
      <c r="A32" s="7">
        <v>45453</v>
      </c>
      <c r="B32" s="6"/>
      <c r="C32" s="8" t="s">
        <v>12</v>
      </c>
      <c r="D32" s="8" t="s">
        <v>10</v>
      </c>
      <c r="E32" t="s">
        <v>166</v>
      </c>
      <c r="F32">
        <v>90</v>
      </c>
      <c r="K32" s="11"/>
      <c r="L32" s="11"/>
    </row>
    <row r="33" spans="1:6" x14ac:dyDescent="0.3">
      <c r="A33" s="7">
        <v>45453</v>
      </c>
      <c r="B33" s="6"/>
      <c r="C33" s="8" t="s">
        <v>12</v>
      </c>
      <c r="D33" s="8" t="s">
        <v>10</v>
      </c>
      <c r="E33" t="s">
        <v>162</v>
      </c>
      <c r="F33">
        <v>10</v>
      </c>
    </row>
    <row r="34" spans="1:6" x14ac:dyDescent="0.3">
      <c r="A34" s="7">
        <v>45454</v>
      </c>
      <c r="B34" s="6"/>
      <c r="C34" s="8" t="s">
        <v>7</v>
      </c>
      <c r="D34" s="8" t="s">
        <v>10</v>
      </c>
      <c r="F34">
        <v>100</v>
      </c>
    </row>
    <row r="35" spans="1:6" x14ac:dyDescent="0.3">
      <c r="A35" s="7">
        <v>45454</v>
      </c>
      <c r="B35" s="6"/>
      <c r="C35" s="8" t="s">
        <v>12</v>
      </c>
      <c r="D35" s="8" t="s">
        <v>10</v>
      </c>
      <c r="E35" t="s">
        <v>162</v>
      </c>
      <c r="F35">
        <v>10</v>
      </c>
    </row>
    <row r="36" spans="1:6" x14ac:dyDescent="0.3">
      <c r="A36" s="7">
        <v>45455</v>
      </c>
      <c r="B36" s="6"/>
      <c r="C36" s="8" t="s">
        <v>12</v>
      </c>
      <c r="D36" s="8" t="s">
        <v>10</v>
      </c>
      <c r="E36" t="s">
        <v>162</v>
      </c>
      <c r="F36">
        <v>30</v>
      </c>
    </row>
    <row r="37" spans="1:6" x14ac:dyDescent="0.3">
      <c r="A37" s="7">
        <v>45455</v>
      </c>
      <c r="B37" s="6"/>
      <c r="C37" s="8" t="s">
        <v>12</v>
      </c>
      <c r="D37" s="8" t="s">
        <v>10</v>
      </c>
      <c r="E37" t="s">
        <v>163</v>
      </c>
      <c r="F37">
        <v>40</v>
      </c>
    </row>
    <row r="38" spans="1:6" x14ac:dyDescent="0.3">
      <c r="A38" s="7">
        <v>45455</v>
      </c>
      <c r="B38" s="6"/>
      <c r="C38" s="8" t="s">
        <v>12</v>
      </c>
      <c r="D38" s="8" t="s">
        <v>10</v>
      </c>
      <c r="E38" t="s">
        <v>164</v>
      </c>
      <c r="F38">
        <v>70</v>
      </c>
    </row>
    <row r="39" spans="1:6" x14ac:dyDescent="0.3">
      <c r="A39" s="7">
        <v>45455</v>
      </c>
      <c r="B39" s="6"/>
      <c r="C39" s="8" t="s">
        <v>12</v>
      </c>
      <c r="D39" s="8" t="s">
        <v>10</v>
      </c>
      <c r="E39" t="s">
        <v>165</v>
      </c>
      <c r="F39">
        <v>25</v>
      </c>
    </row>
    <row r="40" spans="1:6" x14ac:dyDescent="0.3">
      <c r="A40" s="7">
        <v>45456</v>
      </c>
      <c r="B40" s="6"/>
      <c r="C40" s="8" t="s">
        <v>12</v>
      </c>
      <c r="D40" s="8" t="s">
        <v>10</v>
      </c>
      <c r="E40" t="s">
        <v>162</v>
      </c>
      <c r="F40">
        <v>30</v>
      </c>
    </row>
    <row r="41" spans="1:6" x14ac:dyDescent="0.3">
      <c r="A41" s="7">
        <v>45457</v>
      </c>
      <c r="B41" s="6"/>
      <c r="C41" s="8" t="s">
        <v>12</v>
      </c>
      <c r="D41" s="8" t="s">
        <v>10</v>
      </c>
      <c r="E41" t="s">
        <v>166</v>
      </c>
      <c r="F41">
        <v>200</v>
      </c>
    </row>
    <row r="42" spans="1:6" x14ac:dyDescent="0.3">
      <c r="A42" s="7">
        <v>45457</v>
      </c>
      <c r="B42" s="6"/>
      <c r="C42" s="8" t="s">
        <v>12</v>
      </c>
      <c r="D42" s="8" t="s">
        <v>10</v>
      </c>
      <c r="E42" t="s">
        <v>164</v>
      </c>
      <c r="F42">
        <v>70</v>
      </c>
    </row>
    <row r="43" spans="1:6" x14ac:dyDescent="0.3">
      <c r="A43" s="7">
        <v>45457</v>
      </c>
      <c r="B43" s="6"/>
      <c r="C43" s="8" t="s">
        <v>12</v>
      </c>
      <c r="D43" s="8" t="s">
        <v>10</v>
      </c>
      <c r="E43" t="s">
        <v>165</v>
      </c>
      <c r="F43">
        <v>27</v>
      </c>
    </row>
    <row r="44" spans="1:6" x14ac:dyDescent="0.3">
      <c r="A44" s="7">
        <v>45458</v>
      </c>
      <c r="B44" s="6"/>
      <c r="C44" s="8" t="s">
        <v>7</v>
      </c>
      <c r="D44" s="8" t="s">
        <v>10</v>
      </c>
      <c r="F44">
        <v>100</v>
      </c>
    </row>
    <row r="45" spans="1:6" x14ac:dyDescent="0.3">
      <c r="A45" s="7">
        <v>45458</v>
      </c>
      <c r="B45" s="6"/>
      <c r="C45" s="8" t="s">
        <v>12</v>
      </c>
      <c r="D45" s="8" t="s">
        <v>10</v>
      </c>
      <c r="E45" t="s">
        <v>164</v>
      </c>
      <c r="F45">
        <v>70</v>
      </c>
    </row>
    <row r="46" spans="1:6" x14ac:dyDescent="0.3">
      <c r="A46" s="7">
        <v>45483</v>
      </c>
      <c r="B46" s="6"/>
      <c r="C46" s="8" t="s">
        <v>7</v>
      </c>
      <c r="D46" s="8" t="s">
        <v>10</v>
      </c>
      <c r="F46">
        <v>1010</v>
      </c>
    </row>
    <row r="47" spans="1:6" x14ac:dyDescent="0.3">
      <c r="A47" s="7">
        <v>45483</v>
      </c>
      <c r="B47" s="6"/>
      <c r="C47" s="8" t="s">
        <v>12</v>
      </c>
      <c r="D47" s="8" t="s">
        <v>10</v>
      </c>
      <c r="E47" t="s">
        <v>162</v>
      </c>
      <c r="F47">
        <v>30</v>
      </c>
    </row>
    <row r="48" spans="1:6" x14ac:dyDescent="0.3">
      <c r="A48" s="7">
        <v>45484</v>
      </c>
      <c r="B48" s="6"/>
      <c r="C48" s="8" t="s">
        <v>12</v>
      </c>
      <c r="D48" s="8" t="s">
        <v>10</v>
      </c>
      <c r="E48" t="s">
        <v>162</v>
      </c>
      <c r="F48">
        <v>10</v>
      </c>
    </row>
    <row r="49" spans="1:6" x14ac:dyDescent="0.3">
      <c r="A49" s="7">
        <v>45484</v>
      </c>
      <c r="B49" s="6"/>
      <c r="C49" s="8" t="s">
        <v>12</v>
      </c>
      <c r="D49" s="8" t="s">
        <v>10</v>
      </c>
      <c r="E49" t="s">
        <v>163</v>
      </c>
      <c r="F49">
        <v>30</v>
      </c>
    </row>
    <row r="50" spans="1:6" x14ac:dyDescent="0.3">
      <c r="A50" s="7">
        <v>45485</v>
      </c>
      <c r="B50" s="6"/>
      <c r="C50" s="8" t="s">
        <v>12</v>
      </c>
      <c r="D50" s="8" t="s">
        <v>10</v>
      </c>
      <c r="E50" t="s">
        <v>167</v>
      </c>
      <c r="F50">
        <v>10</v>
      </c>
    </row>
    <row r="51" spans="1:6" x14ac:dyDescent="0.3">
      <c r="A51" s="7">
        <v>45485</v>
      </c>
      <c r="B51" s="6"/>
      <c r="C51" s="8" t="s">
        <v>12</v>
      </c>
      <c r="D51" s="8" t="s">
        <v>10</v>
      </c>
      <c r="E51" t="s">
        <v>164</v>
      </c>
      <c r="F51">
        <v>130</v>
      </c>
    </row>
    <row r="52" spans="1:6" x14ac:dyDescent="0.3">
      <c r="A52" s="7">
        <v>45485</v>
      </c>
      <c r="B52" s="6"/>
      <c r="C52" s="8" t="s">
        <v>7</v>
      </c>
      <c r="D52" s="8" t="s">
        <v>10</v>
      </c>
      <c r="F52">
        <v>100</v>
      </c>
    </row>
    <row r="53" spans="1:6" x14ac:dyDescent="0.3">
      <c r="A53" s="7">
        <v>45486</v>
      </c>
      <c r="B53" s="6"/>
      <c r="C53" s="8" t="s">
        <v>12</v>
      </c>
      <c r="D53" s="8" t="s">
        <v>10</v>
      </c>
      <c r="E53" t="s">
        <v>168</v>
      </c>
      <c r="F53">
        <v>35</v>
      </c>
    </row>
    <row r="54" spans="1:6" x14ac:dyDescent="0.3">
      <c r="A54" s="7">
        <v>45486</v>
      </c>
      <c r="B54" s="6"/>
      <c r="C54" s="8" t="s">
        <v>12</v>
      </c>
      <c r="D54" s="8" t="s">
        <v>10</v>
      </c>
      <c r="E54" t="s">
        <v>169</v>
      </c>
      <c r="F54">
        <v>230</v>
      </c>
    </row>
    <row r="55" spans="1:6" x14ac:dyDescent="0.3">
      <c r="A55" s="7">
        <v>45489</v>
      </c>
      <c r="B55" s="6"/>
      <c r="C55" s="8" t="s">
        <v>7</v>
      </c>
      <c r="D55" s="8" t="s">
        <v>10</v>
      </c>
      <c r="E55" t="s">
        <v>166</v>
      </c>
      <c r="F55">
        <v>120</v>
      </c>
    </row>
    <row r="56" spans="1:6" x14ac:dyDescent="0.3">
      <c r="A56" s="7">
        <v>45489</v>
      </c>
      <c r="B56" s="6"/>
      <c r="C56" s="8" t="s">
        <v>12</v>
      </c>
      <c r="D56" s="8" t="s">
        <v>10</v>
      </c>
      <c r="E56" t="s">
        <v>163</v>
      </c>
      <c r="F56">
        <v>20</v>
      </c>
    </row>
    <row r="57" spans="1:6" x14ac:dyDescent="0.3">
      <c r="A57" s="7">
        <v>45491</v>
      </c>
      <c r="B57" s="6"/>
      <c r="C57" s="8" t="s">
        <v>12</v>
      </c>
      <c r="D57" s="8" t="s">
        <v>10</v>
      </c>
      <c r="E57" t="s">
        <v>163</v>
      </c>
      <c r="F57">
        <v>15</v>
      </c>
    </row>
    <row r="58" spans="1:6" x14ac:dyDescent="0.3">
      <c r="A58" s="7">
        <v>45491</v>
      </c>
      <c r="B58" s="6"/>
      <c r="C58" s="8" t="s">
        <v>12</v>
      </c>
      <c r="D58" s="8" t="s">
        <v>10</v>
      </c>
      <c r="E58" t="s">
        <v>164</v>
      </c>
      <c r="F58">
        <v>70</v>
      </c>
    </row>
    <row r="59" spans="1:6" x14ac:dyDescent="0.3">
      <c r="A59" s="7">
        <v>45491</v>
      </c>
      <c r="B59" s="6"/>
      <c r="C59" s="8" t="s">
        <v>12</v>
      </c>
      <c r="D59" s="8" t="s">
        <v>10</v>
      </c>
      <c r="E59" t="s">
        <v>165</v>
      </c>
      <c r="F59">
        <v>27</v>
      </c>
    </row>
    <row r="60" spans="1:6" x14ac:dyDescent="0.3">
      <c r="A60" s="7">
        <v>45492</v>
      </c>
      <c r="B60" s="6"/>
      <c r="C60" s="8" t="s">
        <v>12</v>
      </c>
      <c r="D60" s="8" t="s">
        <v>10</v>
      </c>
      <c r="E60" t="s">
        <v>163</v>
      </c>
      <c r="F60">
        <v>60</v>
      </c>
    </row>
    <row r="61" spans="1:6" x14ac:dyDescent="0.3">
      <c r="A61" s="7">
        <v>45493</v>
      </c>
      <c r="B61" s="6"/>
      <c r="C61" s="8" t="s">
        <v>12</v>
      </c>
      <c r="D61" s="8" t="s">
        <v>10</v>
      </c>
      <c r="E61" t="s">
        <v>169</v>
      </c>
      <c r="F61">
        <v>225</v>
      </c>
    </row>
    <row r="62" spans="1:6" x14ac:dyDescent="0.3">
      <c r="A62" s="7">
        <v>45494</v>
      </c>
      <c r="B62" s="6"/>
      <c r="C62" s="8" t="s">
        <v>12</v>
      </c>
      <c r="D62" s="8" t="s">
        <v>10</v>
      </c>
      <c r="E62" t="s">
        <v>163</v>
      </c>
      <c r="F62">
        <v>70</v>
      </c>
    </row>
    <row r="63" spans="1:6" x14ac:dyDescent="0.3">
      <c r="A63" s="7">
        <v>45495</v>
      </c>
      <c r="B63" s="6"/>
      <c r="C63" s="8" t="s">
        <v>12</v>
      </c>
      <c r="D63" s="8" t="s">
        <v>10</v>
      </c>
      <c r="E63" t="s">
        <v>164</v>
      </c>
      <c r="F63">
        <v>70</v>
      </c>
    </row>
    <row r="64" spans="1:6" x14ac:dyDescent="0.3">
      <c r="A64" s="7">
        <v>45496</v>
      </c>
      <c r="B64" s="6"/>
      <c r="C64" s="8" t="s">
        <v>7</v>
      </c>
      <c r="D64" s="8" t="s">
        <v>10</v>
      </c>
      <c r="F64">
        <v>320</v>
      </c>
    </row>
    <row r="65" spans="1:6" x14ac:dyDescent="0.3">
      <c r="A65" s="7">
        <v>45496</v>
      </c>
      <c r="B65" s="6"/>
      <c r="C65" s="8" t="s">
        <v>12</v>
      </c>
      <c r="D65" s="8" t="s">
        <v>10</v>
      </c>
      <c r="E65" t="s">
        <v>166</v>
      </c>
      <c r="F65">
        <v>200</v>
      </c>
    </row>
    <row r="66" spans="1:6" x14ac:dyDescent="0.3">
      <c r="A66" s="7">
        <v>45496</v>
      </c>
      <c r="B66" s="6"/>
      <c r="C66" s="8" t="s">
        <v>7</v>
      </c>
      <c r="D66" s="8" t="s">
        <v>10</v>
      </c>
      <c r="E66" t="s">
        <v>166</v>
      </c>
      <c r="F66">
        <v>30</v>
      </c>
    </row>
    <row r="67" spans="1:6" x14ac:dyDescent="0.3">
      <c r="A67" s="7">
        <v>45496</v>
      </c>
      <c r="B67" s="6"/>
      <c r="C67" s="8" t="s">
        <v>12</v>
      </c>
      <c r="D67" s="8" t="s">
        <v>10</v>
      </c>
      <c r="E67" t="s">
        <v>164</v>
      </c>
      <c r="F67">
        <v>70</v>
      </c>
    </row>
    <row r="68" spans="1:6" x14ac:dyDescent="0.3">
      <c r="A68" s="7">
        <v>45498</v>
      </c>
      <c r="B68" s="6"/>
      <c r="C68" s="8" t="s">
        <v>12</v>
      </c>
      <c r="D68" s="8" t="s">
        <v>10</v>
      </c>
      <c r="E68" t="s">
        <v>163</v>
      </c>
      <c r="F68">
        <v>105</v>
      </c>
    </row>
    <row r="69" spans="1:6" x14ac:dyDescent="0.3">
      <c r="A69" s="7">
        <v>45498</v>
      </c>
      <c r="B69" s="6"/>
      <c r="C69" s="8" t="s">
        <v>12</v>
      </c>
      <c r="D69" s="8" t="s">
        <v>10</v>
      </c>
      <c r="E69" t="s">
        <v>164</v>
      </c>
      <c r="F69">
        <v>70</v>
      </c>
    </row>
    <row r="70" spans="1:6" x14ac:dyDescent="0.3">
      <c r="A70" s="7">
        <v>45499</v>
      </c>
      <c r="B70" s="6"/>
      <c r="C70" s="8" t="s">
        <v>12</v>
      </c>
      <c r="D70" s="8" t="s">
        <v>10</v>
      </c>
      <c r="E70" t="s">
        <v>165</v>
      </c>
      <c r="F70">
        <v>27</v>
      </c>
    </row>
    <row r="71" spans="1:6" x14ac:dyDescent="0.3">
      <c r="A71" s="7">
        <v>45500</v>
      </c>
      <c r="B71" s="6"/>
      <c r="C71" s="8" t="s">
        <v>7</v>
      </c>
      <c r="D71" s="8" t="s">
        <v>10</v>
      </c>
      <c r="F71">
        <v>550</v>
      </c>
    </row>
    <row r="72" spans="1:6" x14ac:dyDescent="0.3">
      <c r="A72" s="7">
        <v>45503</v>
      </c>
      <c r="B72" s="6"/>
      <c r="C72" s="8" t="s">
        <v>12</v>
      </c>
      <c r="D72" s="8" t="s">
        <v>10</v>
      </c>
      <c r="E72" t="s">
        <v>164</v>
      </c>
      <c r="F72">
        <v>100</v>
      </c>
    </row>
    <row r="73" spans="1:6" x14ac:dyDescent="0.3">
      <c r="A73" s="7">
        <v>45503</v>
      </c>
      <c r="B73" s="6"/>
      <c r="C73" s="8" t="s">
        <v>12</v>
      </c>
      <c r="D73" s="8" t="s">
        <v>10</v>
      </c>
      <c r="E73" t="s">
        <v>166</v>
      </c>
      <c r="F73">
        <v>20</v>
      </c>
    </row>
    <row r="74" spans="1:6" x14ac:dyDescent="0.3">
      <c r="A74" s="7">
        <v>45503</v>
      </c>
      <c r="B74" s="6"/>
      <c r="C74" s="8" t="s">
        <v>12</v>
      </c>
      <c r="D74" s="8" t="s">
        <v>10</v>
      </c>
      <c r="E74" t="s">
        <v>163</v>
      </c>
      <c r="F74">
        <v>100</v>
      </c>
    </row>
    <row r="75" spans="1:6" x14ac:dyDescent="0.3">
      <c r="A75" s="7">
        <v>45503</v>
      </c>
      <c r="B75" s="6"/>
      <c r="C75" s="8" t="s">
        <v>12</v>
      </c>
      <c r="D75" s="8" t="s">
        <v>10</v>
      </c>
      <c r="E75" t="s">
        <v>163</v>
      </c>
      <c r="F75">
        <v>20</v>
      </c>
    </row>
    <row r="76" spans="1:6" x14ac:dyDescent="0.3">
      <c r="A76" s="7">
        <v>45503</v>
      </c>
      <c r="B76" s="6"/>
      <c r="C76" s="8" t="s">
        <v>12</v>
      </c>
      <c r="D76" s="8" t="s">
        <v>10</v>
      </c>
      <c r="E76" t="s">
        <v>164</v>
      </c>
      <c r="F76">
        <v>35</v>
      </c>
    </row>
    <row r="77" spans="1:6" x14ac:dyDescent="0.3">
      <c r="A77" s="7">
        <v>45503</v>
      </c>
      <c r="B77" s="6"/>
      <c r="C77" s="8" t="s">
        <v>12</v>
      </c>
      <c r="D77" s="8" t="s">
        <v>10</v>
      </c>
      <c r="E77" t="s">
        <v>165</v>
      </c>
      <c r="F77">
        <v>27</v>
      </c>
    </row>
    <row r="78" spans="1:6" x14ac:dyDescent="0.3">
      <c r="A78" s="7">
        <v>45505</v>
      </c>
      <c r="B78" s="6"/>
      <c r="C78" s="8" t="s">
        <v>12</v>
      </c>
      <c r="D78" s="8" t="s">
        <v>10</v>
      </c>
      <c r="E78" t="s">
        <v>166</v>
      </c>
      <c r="F78">
        <v>200</v>
      </c>
    </row>
    <row r="79" spans="1:6" x14ac:dyDescent="0.3">
      <c r="A79" s="7">
        <v>45506</v>
      </c>
      <c r="B79" s="6"/>
      <c r="C79" s="8" t="s">
        <v>12</v>
      </c>
      <c r="D79" s="8" t="s">
        <v>10</v>
      </c>
      <c r="E79" t="s">
        <v>166</v>
      </c>
      <c r="F79">
        <v>20</v>
      </c>
    </row>
    <row r="80" spans="1:6" x14ac:dyDescent="0.3">
      <c r="A80" s="7">
        <v>45506</v>
      </c>
      <c r="B80" s="6"/>
      <c r="C80" s="8" t="s">
        <v>7</v>
      </c>
      <c r="D80" s="8" t="s">
        <v>10</v>
      </c>
      <c r="F80">
        <v>650</v>
      </c>
    </row>
    <row r="81" spans="1:6" x14ac:dyDescent="0.3">
      <c r="A81" s="7">
        <v>45506</v>
      </c>
      <c r="B81" s="6"/>
      <c r="C81" s="8" t="s">
        <v>12</v>
      </c>
      <c r="D81" s="8" t="s">
        <v>10</v>
      </c>
      <c r="E81" t="s">
        <v>164</v>
      </c>
      <c r="F81">
        <v>70</v>
      </c>
    </row>
    <row r="82" spans="1:6" x14ac:dyDescent="0.3">
      <c r="A82" s="7">
        <v>45509</v>
      </c>
      <c r="B82" s="6"/>
      <c r="C82" s="8" t="s">
        <v>12</v>
      </c>
      <c r="D82" s="8" t="s">
        <v>10</v>
      </c>
      <c r="E82" t="s">
        <v>165</v>
      </c>
      <c r="F82">
        <v>27</v>
      </c>
    </row>
    <row r="83" spans="1:6" x14ac:dyDescent="0.3">
      <c r="A83" s="7">
        <v>45509</v>
      </c>
      <c r="B83" s="6"/>
      <c r="C83" s="8" t="s">
        <v>12</v>
      </c>
      <c r="D83" s="8" t="s">
        <v>10</v>
      </c>
      <c r="F83">
        <v>93</v>
      </c>
    </row>
    <row r="84" spans="1:6" x14ac:dyDescent="0.3">
      <c r="A84" s="7">
        <v>45511</v>
      </c>
      <c r="B84" s="6"/>
      <c r="C84" s="8" t="s">
        <v>12</v>
      </c>
      <c r="D84" s="8" t="s">
        <v>10</v>
      </c>
      <c r="F84">
        <v>115</v>
      </c>
    </row>
    <row r="85" spans="1:6" x14ac:dyDescent="0.3">
      <c r="A85" s="7">
        <v>45512</v>
      </c>
      <c r="B85" s="6"/>
      <c r="C85" s="8" t="s">
        <v>12</v>
      </c>
      <c r="D85" s="8" t="s">
        <v>10</v>
      </c>
      <c r="E85" t="s">
        <v>164</v>
      </c>
      <c r="F85">
        <v>100</v>
      </c>
    </row>
  </sheetData>
  <mergeCells count="1">
    <mergeCell ref="K32:L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(Karish written)</vt:lpstr>
      <vt:lpstr>Sheet2 (Karish digital)</vt:lpstr>
      <vt:lpstr>Sheet3 (Vishwa)</vt:lpstr>
      <vt:lpstr>Sheet4 (Manasa)</vt:lpstr>
      <vt:lpstr>Sheet5 (Akshaya)</vt:lpstr>
      <vt:lpstr>Roshini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Karishini S</dc:creator>
  <cp:keywords/>
  <dc:description/>
  <cp:lastModifiedBy>Gowri J S</cp:lastModifiedBy>
  <cp:revision/>
  <dcterms:created xsi:type="dcterms:W3CDTF">2025-01-30T05:57:02Z</dcterms:created>
  <dcterms:modified xsi:type="dcterms:W3CDTF">2025-04-18T18:22:35Z</dcterms:modified>
  <cp:category/>
  <cp:contentStatus/>
</cp:coreProperties>
</file>